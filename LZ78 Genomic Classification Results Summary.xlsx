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yasmineomri/Downloads/"/>
    </mc:Choice>
  </mc:AlternateContent>
  <xr:revisionPtr revIDLastSave="0" documentId="13_ncr:1_{5814FEF4-C024-A148-812A-D96AF0A3F53B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Accuracy and profil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" i="1" l="1"/>
  <c r="N4" i="1"/>
  <c r="R40" i="1"/>
  <c r="Q40" i="1"/>
  <c r="S40" i="1"/>
  <c r="N38" i="1"/>
  <c r="N37" i="1"/>
  <c r="N36" i="1"/>
  <c r="N35" i="1"/>
  <c r="N34" i="1"/>
  <c r="N32" i="1"/>
  <c r="N30" i="1"/>
  <c r="N29" i="1"/>
  <c r="N28" i="1"/>
  <c r="N26" i="1"/>
  <c r="N25" i="1"/>
  <c r="N24" i="1"/>
  <c r="N22" i="1"/>
  <c r="N21" i="1"/>
  <c r="N20" i="1"/>
  <c r="N19" i="1"/>
  <c r="N18" i="1"/>
  <c r="N16" i="1"/>
  <c r="N14" i="1"/>
  <c r="N13" i="1"/>
  <c r="N11" i="1"/>
  <c r="N10" i="1"/>
  <c r="N9" i="1"/>
  <c r="N8" i="1"/>
  <c r="N7" i="1"/>
  <c r="N6" i="1"/>
  <c r="N5" i="1"/>
  <c r="D40" i="1"/>
  <c r="C40" i="1"/>
  <c r="B40" i="1"/>
  <c r="AF40" i="1"/>
  <c r="AC38" i="1"/>
  <c r="AC37" i="1"/>
  <c r="AC36" i="1"/>
  <c r="AC35" i="1"/>
  <c r="AC34" i="1"/>
  <c r="AC32" i="1"/>
  <c r="AC30" i="1"/>
  <c r="AC29" i="1"/>
  <c r="AC28" i="1"/>
  <c r="AC26" i="1"/>
  <c r="AC25" i="1"/>
  <c r="AC24" i="1"/>
  <c r="AC22" i="1"/>
  <c r="AC21" i="1"/>
  <c r="AC20" i="1"/>
  <c r="AC19" i="1"/>
  <c r="AC18" i="1"/>
  <c r="AC16" i="1"/>
  <c r="AC14" i="1"/>
  <c r="AC13" i="1"/>
  <c r="AC11" i="1"/>
  <c r="AC10" i="1"/>
  <c r="AC9" i="1"/>
  <c r="AC8" i="1"/>
  <c r="AC7" i="1"/>
  <c r="AC6" i="1"/>
  <c r="AC5" i="1"/>
  <c r="N40" i="1" l="1"/>
  <c r="AC40" i="1"/>
</calcChain>
</file>

<file path=xl/sharedStrings.xml><?xml version="1.0" encoding="utf-8"?>
<sst xmlns="http://schemas.openxmlformats.org/spreadsheetml/2006/main" count="183" uniqueCount="56">
  <si>
    <t>dataset</t>
  </si>
  <si>
    <t>DNABERT-2</t>
  </si>
  <si>
    <t>DNABERT-2-*</t>
  </si>
  <si>
    <t>H3</t>
  </si>
  <si>
    <t>remove</t>
  </si>
  <si>
    <t>entropy</t>
  </si>
  <si>
    <t>H3K14ac</t>
  </si>
  <si>
    <t>depth</t>
  </si>
  <si>
    <t>H3K36me3</t>
  </si>
  <si>
    <t>H3K4me1</t>
  </si>
  <si>
    <t>H3K4me2</t>
  </si>
  <si>
    <t>H3K4me3</t>
  </si>
  <si>
    <t>H3K79me3</t>
  </si>
  <si>
    <t>H3K9ac</t>
  </si>
  <si>
    <t>H4</t>
  </si>
  <si>
    <t>H4ac</t>
  </si>
  <si>
    <t>covid</t>
  </si>
  <si>
    <t>mouse0</t>
  </si>
  <si>
    <t>mouse1</t>
  </si>
  <si>
    <t>mouse2</t>
  </si>
  <si>
    <t>mouse3</t>
  </si>
  <si>
    <t>mouse4</t>
  </si>
  <si>
    <t>prom_300_all</t>
  </si>
  <si>
    <t>prom_300_notata</t>
  </si>
  <si>
    <t>prom_300_tata</t>
  </si>
  <si>
    <t>prom_core_all</t>
  </si>
  <si>
    <t>prom_core_notata</t>
  </si>
  <si>
    <t>prom_core_tata</t>
  </si>
  <si>
    <t>splice</t>
  </si>
  <si>
    <t>tf0</t>
  </si>
  <si>
    <t>tf1</t>
  </si>
  <si>
    <t>tf2</t>
  </si>
  <si>
    <t>tf3</t>
  </si>
  <si>
    <t>tf4</t>
  </si>
  <si>
    <t>TOTAL HRS</t>
  </si>
  <si>
    <t>AVERAGE</t>
  </si>
  <si>
    <t>Hyperparameters producing the best classifier</t>
  </si>
  <si>
    <t>Compute and Memory</t>
  </si>
  <si>
    <t>Accuracy</t>
  </si>
  <si>
    <t>Full Hyperparameter Training Sweep (LZ78: Ensemble)</t>
  </si>
  <si>
    <t>iInclude previous samples' context</t>
  </si>
  <si>
    <t>Dirichlet (gamma) parameter</t>
  </si>
  <si>
    <t>Nb iterations</t>
  </si>
  <si>
    <t>Handle N setting</t>
  </si>
  <si>
    <t>Pretrain to train ratio</t>
  </si>
  <si>
    <t>Ensemble prediction heuristic</t>
  </si>
  <si>
    <t>Nb threads</t>
  </si>
  <si>
    <t>Training time (s)</t>
  </si>
  <si>
    <t>Training time (hrs)</t>
  </si>
  <si>
    <t>Dataset inference time (s)</t>
  </si>
  <si>
    <t>Peak Training Memory (MiB)</t>
  </si>
  <si>
    <t>Test accuracy</t>
  </si>
  <si>
    <t>LZ78: No Ensemble accuracy</t>
  </si>
  <si>
    <t>Minimal Hyperparameter Training Sweep (LZ78: Ensemble)</t>
  </si>
  <si>
    <t>Sequence-level profiling: inference time/symbol (ms)</t>
  </si>
  <si>
    <t>Sequence-level profiling: inference memory (MiB)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</si>
</sst>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rgb="FF000000"/>
      <name val="Arial"/>
      <family val="2"/>
      <scheme val="minor"/>
    </font>
    <font>
      <sz val="12"/>
      <color theme="0" tint="-0.1499984740745262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1"/>
      <color theme="1"/>
      <name val="Arial (Body)"/>
    </font>
    <font>
      <sz val="11"/>
      <color rgb="FF000000"/>
      <name val="Arial (Body)"/>
    </font>
    <font>
      <b/>
      <sz val="11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AEAFF"/>
        <bgColor indexed="64"/>
      </patternFill>
    </fill>
    <fill>
      <patternFill patternType="solid">
        <fgColor rgb="FFC0DBF7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FFF2CC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0" xfId="0" applyFont="1"/>
    <xf numFmtId="0" fontId="6" fillId="0" borderId="0" xfId="0" applyFont="1"/>
    <xf numFmtId="0" fontId="8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0" fillId="7" borderId="0" xfId="0" applyFill="1"/>
    <xf numFmtId="0" fontId="9" fillId="0" borderId="1" xfId="0" applyFont="1" applyBorder="1"/>
    <xf numFmtId="0" fontId="9" fillId="0" borderId="1" xfId="0" applyFont="1" applyBorder="1" applyAlignment="1">
      <alignment vertical="top" wrapText="1"/>
    </xf>
    <xf numFmtId="0" fontId="9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2" fillId="2" borderId="1" xfId="0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3" fillId="7" borderId="1" xfId="0" applyFont="1" applyFill="1" applyBorder="1"/>
    <xf numFmtId="0" fontId="0" fillId="7" borderId="1" xfId="0" applyFill="1" applyBorder="1"/>
    <xf numFmtId="0" fontId="4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right"/>
    </xf>
    <xf numFmtId="0" fontId="3" fillId="8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9" fillId="0" borderId="5" xfId="0" applyFont="1" applyBorder="1"/>
    <xf numFmtId="0" fontId="9" fillId="0" borderId="0" xfId="0" applyFont="1" applyAlignment="1">
      <alignment vertical="top" wrapText="1"/>
    </xf>
    <xf numFmtId="0" fontId="4" fillId="0" borderId="3" xfId="0" applyFont="1" applyBorder="1"/>
    <xf numFmtId="0" fontId="0" fillId="7" borderId="3" xfId="0" applyFill="1" applyBorder="1"/>
    <xf numFmtId="0" fontId="4" fillId="0" borderId="5" xfId="0" applyFont="1" applyBorder="1"/>
    <xf numFmtId="0" fontId="4" fillId="7" borderId="5" xfId="0" applyFont="1" applyFill="1" applyBorder="1"/>
    <xf numFmtId="0" fontId="9" fillId="0" borderId="3" xfId="0" applyFont="1" applyBorder="1"/>
    <xf numFmtId="0" fontId="5" fillId="0" borderId="1" xfId="0" applyFont="1" applyBorder="1"/>
    <xf numFmtId="0" fontId="4" fillId="7" borderId="3" xfId="0" applyFont="1" applyFill="1" applyBorder="1"/>
    <xf numFmtId="0" fontId="2" fillId="2" borderId="5" xfId="0" applyFont="1" applyFill="1" applyBorder="1"/>
    <xf numFmtId="0" fontId="4" fillId="8" borderId="5" xfId="0" applyFont="1" applyFill="1" applyBorder="1"/>
    <xf numFmtId="0" fontId="4" fillId="2" borderId="5" xfId="0" applyFont="1" applyFill="1" applyBorder="1"/>
    <xf numFmtId="0" fontId="0" fillId="0" borderId="1" xfId="0" applyBorder="1"/>
    <xf numFmtId="0" fontId="0" fillId="9" borderId="1" xfId="0" applyFill="1" applyBorder="1"/>
    <xf numFmtId="0" fontId="11" fillId="0" borderId="1" xfId="0" applyFont="1" applyBorder="1"/>
    <xf numFmtId="0" fontId="7" fillId="0" borderId="0" xfId="0" applyFont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DBF7"/>
      <color rgb="FF781D26"/>
      <color rgb="FF901F2A"/>
      <color rgb="FFA5CFE1"/>
      <color rgb="FFA9C2DA"/>
      <color rgb="FFC7E6FF"/>
      <color rgb="FF95BEDB"/>
      <color rgb="FFB8D5EF"/>
      <color rgb="FF7AB6F0"/>
      <color rgb="FF6CA0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M1009"/>
  <sheetViews>
    <sheetView tabSelected="1" zoomScale="90"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E13" sqref="E13"/>
    </sheetView>
  </sheetViews>
  <sheetFormatPr baseColWidth="10" defaultColWidth="12.6640625" defaultRowHeight="15.75" customHeight="1" x14ac:dyDescent="0.15"/>
  <cols>
    <col min="19" max="19" width="14" customWidth="1"/>
    <col min="32" max="32" width="14.33203125" customWidth="1"/>
  </cols>
  <sheetData>
    <row r="1" spans="1:221" s="2" customFormat="1" ht="28" customHeight="1" x14ac:dyDescent="0.2">
      <c r="F1" s="50" t="s">
        <v>53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39"/>
      <c r="U1" s="47" t="s">
        <v>39</v>
      </c>
      <c r="V1" s="48"/>
      <c r="W1" s="48"/>
      <c r="X1" s="48"/>
      <c r="Y1" s="48"/>
      <c r="Z1" s="48"/>
      <c r="AA1" s="48"/>
      <c r="AB1" s="48"/>
      <c r="AC1" s="48"/>
      <c r="AD1" s="48"/>
      <c r="AE1" s="48"/>
      <c r="AF1" s="49"/>
    </row>
    <row r="2" spans="1:221" s="3" customFormat="1" ht="23" customHeight="1" x14ac:dyDescent="0.15">
      <c r="F2" s="42" t="s">
        <v>36</v>
      </c>
      <c r="G2" s="43"/>
      <c r="H2" s="43"/>
      <c r="I2" s="43"/>
      <c r="J2" s="43"/>
      <c r="K2" s="43"/>
      <c r="L2" s="44" t="s">
        <v>37</v>
      </c>
      <c r="M2" s="45"/>
      <c r="N2" s="45"/>
      <c r="O2" s="45"/>
      <c r="P2" s="45"/>
      <c r="Q2" s="45"/>
      <c r="R2" s="46"/>
      <c r="S2" s="4" t="s">
        <v>38</v>
      </c>
      <c r="U2" s="40" t="s">
        <v>36</v>
      </c>
      <c r="V2" s="40"/>
      <c r="W2" s="40"/>
      <c r="X2" s="40"/>
      <c r="Y2" s="40"/>
      <c r="Z2" s="40"/>
      <c r="AA2" s="41" t="s">
        <v>37</v>
      </c>
      <c r="AB2" s="41"/>
      <c r="AC2" s="41"/>
      <c r="AD2" s="41"/>
      <c r="AE2" s="41"/>
      <c r="AF2" s="4" t="s">
        <v>38</v>
      </c>
    </row>
    <row r="3" spans="1:221" s="6" customFormat="1" ht="20" customHeight="1" x14ac:dyDescent="0.15">
      <c r="A3" s="8" t="s">
        <v>0</v>
      </c>
      <c r="B3" s="8" t="s">
        <v>1</v>
      </c>
      <c r="C3" s="30" t="s">
        <v>2</v>
      </c>
      <c r="D3" s="9" t="s">
        <v>52</v>
      </c>
      <c r="E3" s="25"/>
      <c r="F3" s="8" t="s">
        <v>40</v>
      </c>
      <c r="G3" s="24" t="s">
        <v>41</v>
      </c>
      <c r="H3" s="8" t="s">
        <v>42</v>
      </c>
      <c r="I3" s="8" t="s">
        <v>43</v>
      </c>
      <c r="J3" s="8" t="s">
        <v>44</v>
      </c>
      <c r="K3" s="8" t="s">
        <v>45</v>
      </c>
      <c r="L3" s="8" t="s">
        <v>46</v>
      </c>
      <c r="M3" s="8" t="s">
        <v>47</v>
      </c>
      <c r="N3" s="8" t="s">
        <v>48</v>
      </c>
      <c r="O3" s="8" t="s">
        <v>49</v>
      </c>
      <c r="P3" s="30" t="s">
        <v>50</v>
      </c>
      <c r="Q3" s="38" t="s">
        <v>54</v>
      </c>
      <c r="R3" s="38" t="s">
        <v>55</v>
      </c>
      <c r="S3" s="10" t="s">
        <v>51</v>
      </c>
      <c r="T3" s="25"/>
      <c r="U3" s="8" t="s">
        <v>40</v>
      </c>
      <c r="V3" s="8" t="s">
        <v>41</v>
      </c>
      <c r="W3" s="8" t="s">
        <v>42</v>
      </c>
      <c r="X3" s="8" t="s">
        <v>43</v>
      </c>
      <c r="Y3" s="8" t="s">
        <v>44</v>
      </c>
      <c r="Z3" s="8" t="s">
        <v>45</v>
      </c>
      <c r="AA3" s="8" t="s">
        <v>46</v>
      </c>
      <c r="AB3" s="8" t="s">
        <v>47</v>
      </c>
      <c r="AC3" s="8" t="s">
        <v>48</v>
      </c>
      <c r="AD3" s="8" t="s">
        <v>49</v>
      </c>
      <c r="AE3" s="8" t="s">
        <v>50</v>
      </c>
      <c r="AF3" s="10" t="s">
        <v>51</v>
      </c>
      <c r="AG3" s="5"/>
      <c r="AK3" s="5"/>
      <c r="AL3" s="5"/>
      <c r="AM3" s="5"/>
      <c r="AN3" s="5"/>
      <c r="AO3" s="5"/>
      <c r="AP3" s="5"/>
      <c r="AQ3" s="5"/>
      <c r="AR3" s="5"/>
      <c r="AS3" s="5"/>
      <c r="AT3" s="5"/>
    </row>
    <row r="4" spans="1:221" ht="15.75" customHeight="1" x14ac:dyDescent="0.15">
      <c r="A4" s="11" t="s">
        <v>3</v>
      </c>
      <c r="B4" s="12">
        <v>78.27</v>
      </c>
      <c r="C4" s="26">
        <v>80.17</v>
      </c>
      <c r="D4" s="12">
        <v>78.36</v>
      </c>
      <c r="E4" s="1"/>
      <c r="F4" s="12" t="b">
        <v>0</v>
      </c>
      <c r="G4" s="28">
        <v>3</v>
      </c>
      <c r="H4" s="12">
        <v>5</v>
      </c>
      <c r="I4" s="12" t="s">
        <v>4</v>
      </c>
      <c r="J4" s="12">
        <v>0</v>
      </c>
      <c r="K4" s="12" t="s">
        <v>5</v>
      </c>
      <c r="L4" s="12">
        <v>64</v>
      </c>
      <c r="M4" s="12">
        <v>52.21</v>
      </c>
      <c r="N4" s="12">
        <f>M4/3600</f>
        <v>1.4502777777777778E-2</v>
      </c>
      <c r="O4" s="12">
        <v>1.6220000000000001</v>
      </c>
      <c r="P4" s="26">
        <v>537.79999999999995</v>
      </c>
      <c r="Q4" s="12">
        <v>4.2200000000000001E-2</v>
      </c>
      <c r="R4" s="12">
        <v>312.3</v>
      </c>
      <c r="S4" s="33">
        <v>87.64</v>
      </c>
      <c r="T4" s="1"/>
      <c r="U4" s="14" t="b">
        <v>0</v>
      </c>
      <c r="V4" s="15">
        <v>3</v>
      </c>
      <c r="W4" s="15">
        <v>10</v>
      </c>
      <c r="X4" s="11" t="s">
        <v>4</v>
      </c>
      <c r="Y4" s="15">
        <v>0.25</v>
      </c>
      <c r="Z4" s="11" t="s">
        <v>5</v>
      </c>
      <c r="AA4" s="15">
        <v>48</v>
      </c>
      <c r="AB4" s="15">
        <v>808.35900000000004</v>
      </c>
      <c r="AC4" s="15">
        <f>AB4/3600</f>
        <v>0.22454416666666668</v>
      </c>
      <c r="AD4" s="15">
        <v>1.6659999999999999</v>
      </c>
      <c r="AE4" s="15">
        <v>653.9</v>
      </c>
      <c r="AF4" s="16">
        <v>88.24</v>
      </c>
    </row>
    <row r="5" spans="1:221" ht="15.75" customHeight="1" x14ac:dyDescent="0.15">
      <c r="A5" s="11" t="s">
        <v>6</v>
      </c>
      <c r="B5" s="12">
        <v>52.57</v>
      </c>
      <c r="C5" s="26">
        <v>57.42</v>
      </c>
      <c r="D5" s="12">
        <v>80.36</v>
      </c>
      <c r="E5" s="1"/>
      <c r="F5" s="12" t="b">
        <v>0</v>
      </c>
      <c r="G5" s="28">
        <v>0.75</v>
      </c>
      <c r="H5" s="12">
        <v>7</v>
      </c>
      <c r="I5" s="12" t="s">
        <v>4</v>
      </c>
      <c r="J5" s="12">
        <v>0</v>
      </c>
      <c r="K5" s="12" t="s">
        <v>5</v>
      </c>
      <c r="L5" s="12">
        <v>64</v>
      </c>
      <c r="M5" s="12">
        <v>123.52</v>
      </c>
      <c r="N5" s="12">
        <f t="shared" ref="N4:N11" si="0">M5/3600</f>
        <v>3.4311111111111112E-2</v>
      </c>
      <c r="O5" s="12">
        <v>3.4969999999999999</v>
      </c>
      <c r="P5" s="26">
        <v>826.5</v>
      </c>
      <c r="Q5" s="12">
        <v>4.3999999999999997E-2</v>
      </c>
      <c r="R5" s="12">
        <v>556.20000000000005</v>
      </c>
      <c r="S5" s="33">
        <v>92.5</v>
      </c>
      <c r="T5" s="1"/>
      <c r="U5" s="14" t="b">
        <v>0</v>
      </c>
      <c r="V5" s="15">
        <v>1</v>
      </c>
      <c r="W5" s="15">
        <v>10</v>
      </c>
      <c r="X5" s="11" t="s">
        <v>4</v>
      </c>
      <c r="Y5" s="15">
        <v>0.1</v>
      </c>
      <c r="Z5" s="11" t="s">
        <v>7</v>
      </c>
      <c r="AA5" s="15">
        <v>48</v>
      </c>
      <c r="AB5" s="15">
        <v>1800.0039999999999</v>
      </c>
      <c r="AC5" s="15">
        <f t="shared" ref="AC4:AC11" si="1">AB5/3600</f>
        <v>0.50000111111111112</v>
      </c>
      <c r="AD5" s="15">
        <v>3.5379999999999998</v>
      </c>
      <c r="AE5" s="15">
        <v>1036.9000000000001</v>
      </c>
      <c r="AF5" s="16">
        <v>92.19</v>
      </c>
    </row>
    <row r="6" spans="1:221" ht="15.75" customHeight="1" x14ac:dyDescent="0.15">
      <c r="A6" s="11" t="s">
        <v>8</v>
      </c>
      <c r="B6" s="12">
        <v>56.88</v>
      </c>
      <c r="C6" s="26">
        <v>61.9</v>
      </c>
      <c r="D6" s="12">
        <v>78.010000000000005</v>
      </c>
      <c r="E6" s="1"/>
      <c r="F6" s="12" t="b">
        <v>0</v>
      </c>
      <c r="G6" s="28">
        <v>0.75</v>
      </c>
      <c r="H6" s="12">
        <v>10</v>
      </c>
      <c r="I6" s="12" t="s">
        <v>4</v>
      </c>
      <c r="J6" s="12">
        <v>0</v>
      </c>
      <c r="K6" s="12" t="s">
        <v>5</v>
      </c>
      <c r="L6" s="12">
        <v>64</v>
      </c>
      <c r="M6" s="12">
        <v>141.58500000000001</v>
      </c>
      <c r="N6" s="12">
        <f t="shared" si="0"/>
        <v>3.9329166666666672E-2</v>
      </c>
      <c r="O6" s="12">
        <v>3.823</v>
      </c>
      <c r="P6" s="26">
        <v>988.7</v>
      </c>
      <c r="Q6" s="12">
        <v>3.6900000000000002E-2</v>
      </c>
      <c r="R6" s="12">
        <v>563.70000000000005</v>
      </c>
      <c r="S6" s="33">
        <v>89.28</v>
      </c>
      <c r="T6" s="1"/>
      <c r="U6" s="14" t="b">
        <v>0</v>
      </c>
      <c r="V6" s="15">
        <v>0.5</v>
      </c>
      <c r="W6" s="15">
        <v>10</v>
      </c>
      <c r="X6" s="11" t="s">
        <v>4</v>
      </c>
      <c r="Y6" s="15">
        <v>0.25</v>
      </c>
      <c r="Z6" s="11" t="s">
        <v>5</v>
      </c>
      <c r="AA6" s="15">
        <v>48</v>
      </c>
      <c r="AB6" s="15">
        <v>1877.7739999999999</v>
      </c>
      <c r="AC6" s="15">
        <f t="shared" si="1"/>
        <v>0.52160388888888887</v>
      </c>
      <c r="AD6" s="15">
        <v>3.8359999999999999</v>
      </c>
      <c r="AE6" s="15">
        <v>1047.9000000000001</v>
      </c>
      <c r="AF6" s="16">
        <v>89.36</v>
      </c>
    </row>
    <row r="7" spans="1:221" ht="15.75" customHeight="1" x14ac:dyDescent="0.15">
      <c r="A7" s="11" t="s">
        <v>9</v>
      </c>
      <c r="B7" s="12">
        <v>50.52</v>
      </c>
      <c r="C7" s="26">
        <v>53</v>
      </c>
      <c r="D7" s="12">
        <v>72.319999999999993</v>
      </c>
      <c r="E7" s="1"/>
      <c r="F7" s="12" t="b">
        <v>0</v>
      </c>
      <c r="G7" s="28">
        <v>0.75</v>
      </c>
      <c r="H7" s="12">
        <v>10</v>
      </c>
      <c r="I7" s="12" t="s">
        <v>4</v>
      </c>
      <c r="J7" s="12">
        <v>0</v>
      </c>
      <c r="K7" s="12" t="s">
        <v>5</v>
      </c>
      <c r="L7" s="12">
        <v>64</v>
      </c>
      <c r="M7" s="12">
        <v>126.621</v>
      </c>
      <c r="N7" s="12">
        <f t="shared" si="0"/>
        <v>3.5172499999999995E-2</v>
      </c>
      <c r="O7" s="12">
        <v>3.4119999999999999</v>
      </c>
      <c r="P7" s="26">
        <v>964.5</v>
      </c>
      <c r="Q7" s="12">
        <v>4.3700000000000003E-2</v>
      </c>
      <c r="R7" s="12">
        <v>555.4</v>
      </c>
      <c r="S7" s="33">
        <v>83.18</v>
      </c>
      <c r="T7" s="1"/>
      <c r="U7" s="14" t="b">
        <v>0</v>
      </c>
      <c r="V7" s="15">
        <v>3</v>
      </c>
      <c r="W7" s="15">
        <v>10</v>
      </c>
      <c r="X7" s="11" t="s">
        <v>4</v>
      </c>
      <c r="Y7" s="15">
        <v>0.25</v>
      </c>
      <c r="Z7" s="11" t="s">
        <v>7</v>
      </c>
      <c r="AA7" s="15">
        <v>48</v>
      </c>
      <c r="AB7" s="15">
        <v>1726.1010000000001</v>
      </c>
      <c r="AC7" s="15">
        <f t="shared" si="1"/>
        <v>0.47947250000000002</v>
      </c>
      <c r="AD7" s="15">
        <v>3.43</v>
      </c>
      <c r="AE7" s="15">
        <v>945.2</v>
      </c>
      <c r="AF7" s="16">
        <v>83.14</v>
      </c>
    </row>
    <row r="8" spans="1:221" ht="15.75" customHeight="1" x14ac:dyDescent="0.15">
      <c r="A8" s="11" t="s">
        <v>10</v>
      </c>
      <c r="B8" s="12">
        <v>31.13</v>
      </c>
      <c r="C8" s="26">
        <v>39.89</v>
      </c>
      <c r="D8" s="12">
        <v>73.22</v>
      </c>
      <c r="E8" s="1"/>
      <c r="F8" s="12" t="b">
        <v>0</v>
      </c>
      <c r="G8" s="28">
        <v>1</v>
      </c>
      <c r="H8" s="12">
        <v>10</v>
      </c>
      <c r="I8" s="12" t="s">
        <v>4</v>
      </c>
      <c r="J8" s="12">
        <v>0</v>
      </c>
      <c r="K8" s="12" t="s">
        <v>5</v>
      </c>
      <c r="L8" s="12">
        <v>64</v>
      </c>
      <c r="M8" s="12">
        <v>122.596</v>
      </c>
      <c r="N8" s="12">
        <f t="shared" si="0"/>
        <v>3.4054444444444443E-2</v>
      </c>
      <c r="O8" s="12">
        <v>3.262</v>
      </c>
      <c r="P8" s="26">
        <v>983</v>
      </c>
      <c r="Q8" s="12">
        <v>5.0799999999999998E-2</v>
      </c>
      <c r="R8" s="12">
        <v>553.20000000000005</v>
      </c>
      <c r="S8" s="33">
        <v>84.42</v>
      </c>
      <c r="T8" s="1"/>
      <c r="U8" s="14" t="b">
        <v>0</v>
      </c>
      <c r="V8" s="15">
        <v>0.1</v>
      </c>
      <c r="W8" s="15">
        <v>10</v>
      </c>
      <c r="X8" s="11" t="s">
        <v>4</v>
      </c>
      <c r="Y8" s="15">
        <v>0.25</v>
      </c>
      <c r="Z8" s="11" t="s">
        <v>7</v>
      </c>
      <c r="AA8" s="15">
        <v>48</v>
      </c>
      <c r="AB8" s="15">
        <v>1670.519</v>
      </c>
      <c r="AC8" s="15">
        <f t="shared" si="1"/>
        <v>0.46403305555555557</v>
      </c>
      <c r="AD8" s="15">
        <v>3.35</v>
      </c>
      <c r="AE8" s="15">
        <v>1019.5</v>
      </c>
      <c r="AF8" s="16">
        <v>84.75</v>
      </c>
    </row>
    <row r="9" spans="1:221" ht="15.75" customHeight="1" x14ac:dyDescent="0.15">
      <c r="A9" s="11" t="s">
        <v>11</v>
      </c>
      <c r="B9" s="12">
        <v>36.270000000000003</v>
      </c>
      <c r="C9" s="26">
        <v>41.2</v>
      </c>
      <c r="D9" s="12">
        <v>76.900000000000006</v>
      </c>
      <c r="E9" s="1"/>
      <c r="F9" s="12" t="b">
        <v>0</v>
      </c>
      <c r="G9" s="28">
        <v>0.1</v>
      </c>
      <c r="H9" s="12">
        <v>10</v>
      </c>
      <c r="I9" s="12" t="s">
        <v>4</v>
      </c>
      <c r="J9" s="12">
        <v>0</v>
      </c>
      <c r="K9" s="12" t="s">
        <v>5</v>
      </c>
      <c r="L9" s="12">
        <v>64</v>
      </c>
      <c r="M9" s="12">
        <v>148.47</v>
      </c>
      <c r="N9" s="12">
        <f t="shared" si="0"/>
        <v>4.124166666666667E-2</v>
      </c>
      <c r="O9" s="12">
        <v>3.9620000000000002</v>
      </c>
      <c r="P9" s="26">
        <v>985.7</v>
      </c>
      <c r="Q9" s="12">
        <v>4.7300000000000002E-2</v>
      </c>
      <c r="R9" s="12">
        <v>564.1</v>
      </c>
      <c r="S9" s="33">
        <v>88.78</v>
      </c>
      <c r="T9" s="1"/>
      <c r="U9" s="14" t="b">
        <v>0</v>
      </c>
      <c r="V9" s="15">
        <v>0.33</v>
      </c>
      <c r="W9" s="15">
        <v>10</v>
      </c>
      <c r="X9" s="11" t="s">
        <v>4</v>
      </c>
      <c r="Y9" s="15">
        <v>0</v>
      </c>
      <c r="Z9" s="11" t="s">
        <v>7</v>
      </c>
      <c r="AA9" s="15">
        <v>48</v>
      </c>
      <c r="AB9" s="15">
        <v>1992.0060000000001</v>
      </c>
      <c r="AC9" s="15">
        <f t="shared" si="1"/>
        <v>0.55333500000000002</v>
      </c>
      <c r="AD9" s="15">
        <v>3.9609999999999999</v>
      </c>
      <c r="AE9" s="15">
        <v>1047.2</v>
      </c>
      <c r="AF9" s="16">
        <v>88.99</v>
      </c>
    </row>
    <row r="10" spans="1:221" ht="15.75" customHeight="1" x14ac:dyDescent="0.15">
      <c r="A10" s="11" t="s">
        <v>12</v>
      </c>
      <c r="B10" s="12">
        <v>67.39</v>
      </c>
      <c r="C10" s="26">
        <v>65.459999999999994</v>
      </c>
      <c r="D10" s="12">
        <v>77.88</v>
      </c>
      <c r="E10" s="1"/>
      <c r="F10" s="12" t="b">
        <v>0</v>
      </c>
      <c r="G10" s="28">
        <v>5</v>
      </c>
      <c r="H10" s="12">
        <v>10</v>
      </c>
      <c r="I10" s="12" t="s">
        <v>4</v>
      </c>
      <c r="J10" s="12">
        <v>0</v>
      </c>
      <c r="K10" s="12" t="s">
        <v>5</v>
      </c>
      <c r="L10" s="12">
        <v>64</v>
      </c>
      <c r="M10" s="12">
        <v>114.569</v>
      </c>
      <c r="N10" s="12">
        <f t="shared" si="0"/>
        <v>3.182472222222222E-2</v>
      </c>
      <c r="O10" s="12">
        <v>3.105</v>
      </c>
      <c r="P10" s="26">
        <v>921.5</v>
      </c>
      <c r="Q10" s="12">
        <v>6.7799999999999999E-2</v>
      </c>
      <c r="R10" s="12">
        <v>428.3</v>
      </c>
      <c r="S10" s="33">
        <v>88.7</v>
      </c>
      <c r="T10" s="1"/>
      <c r="U10" s="14" t="b">
        <v>1</v>
      </c>
      <c r="V10" s="15">
        <v>5</v>
      </c>
      <c r="W10" s="15">
        <v>7</v>
      </c>
      <c r="X10" s="11" t="s">
        <v>4</v>
      </c>
      <c r="Y10" s="15">
        <v>0.25</v>
      </c>
      <c r="Z10" s="11" t="s">
        <v>7</v>
      </c>
      <c r="AA10" s="15">
        <v>48</v>
      </c>
      <c r="AB10" s="15">
        <v>1559.4159999999999</v>
      </c>
      <c r="AC10" s="15">
        <f t="shared" si="1"/>
        <v>0.43317111111111112</v>
      </c>
      <c r="AD10" s="15">
        <v>3.1040000000000001</v>
      </c>
      <c r="AE10" s="15">
        <v>876.4</v>
      </c>
      <c r="AF10" s="16">
        <v>89.49</v>
      </c>
    </row>
    <row r="11" spans="1:221" ht="15" customHeight="1" x14ac:dyDescent="0.15">
      <c r="A11" s="11" t="s">
        <v>13</v>
      </c>
      <c r="B11" s="12">
        <v>55.63</v>
      </c>
      <c r="C11" s="26">
        <v>57.07</v>
      </c>
      <c r="D11" s="12">
        <v>75.099999999999994</v>
      </c>
      <c r="E11" s="1"/>
      <c r="F11" s="12" t="b">
        <v>0</v>
      </c>
      <c r="G11" s="28">
        <v>0.1</v>
      </c>
      <c r="H11" s="12">
        <v>10</v>
      </c>
      <c r="I11" s="12" t="s">
        <v>4</v>
      </c>
      <c r="J11" s="12">
        <v>0</v>
      </c>
      <c r="K11" s="12" t="s">
        <v>5</v>
      </c>
      <c r="L11" s="12">
        <v>64</v>
      </c>
      <c r="M11" s="12">
        <v>111.437</v>
      </c>
      <c r="N11" s="12">
        <f t="shared" si="0"/>
        <v>3.095472222222222E-2</v>
      </c>
      <c r="O11" s="12">
        <v>2.988</v>
      </c>
      <c r="P11" s="26">
        <v>930.3</v>
      </c>
      <c r="Q11" s="12">
        <v>3.2899999999999999E-2</v>
      </c>
      <c r="R11" s="12">
        <v>426.1</v>
      </c>
      <c r="S11" s="33">
        <v>86.79</v>
      </c>
      <c r="T11" s="1"/>
      <c r="U11" s="14" t="b">
        <v>1</v>
      </c>
      <c r="V11" s="15">
        <v>1</v>
      </c>
      <c r="W11" s="15">
        <v>7</v>
      </c>
      <c r="X11" s="11" t="s">
        <v>4</v>
      </c>
      <c r="Y11" s="15">
        <v>0.25</v>
      </c>
      <c r="Z11" s="11" t="s">
        <v>5</v>
      </c>
      <c r="AA11" s="15">
        <v>48</v>
      </c>
      <c r="AB11" s="15">
        <v>1495.7529999999999</v>
      </c>
      <c r="AC11" s="15">
        <f t="shared" si="1"/>
        <v>0.41548694444444445</v>
      </c>
      <c r="AD11" s="15">
        <v>3.0289999999999999</v>
      </c>
      <c r="AE11" s="15">
        <v>839.1</v>
      </c>
      <c r="AF11" s="16">
        <v>86.79</v>
      </c>
    </row>
    <row r="12" spans="1:221" s="7" customFormat="1" ht="15.75" customHeight="1" x14ac:dyDescent="0.15">
      <c r="A12" s="17"/>
      <c r="B12" s="18"/>
      <c r="C12" s="27"/>
      <c r="D12" s="18"/>
      <c r="E12"/>
      <c r="F12" s="19"/>
      <c r="G12" s="29"/>
      <c r="H12" s="19"/>
      <c r="I12" s="19"/>
      <c r="J12" s="19"/>
      <c r="K12" s="19"/>
      <c r="L12" s="19"/>
      <c r="M12" s="19"/>
      <c r="N12" s="19"/>
      <c r="O12" s="19"/>
      <c r="P12" s="32"/>
      <c r="Q12" s="37"/>
      <c r="R12" s="37"/>
      <c r="S12" s="34"/>
      <c r="T12"/>
      <c r="U12" s="20"/>
      <c r="V12" s="21"/>
      <c r="W12" s="21"/>
      <c r="X12" s="17"/>
      <c r="Y12" s="21"/>
      <c r="Z12" s="17"/>
      <c r="AA12" s="21"/>
      <c r="AB12" s="21"/>
      <c r="AC12" s="21"/>
      <c r="AD12" s="21"/>
      <c r="AE12" s="21"/>
      <c r="AF12" s="2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</row>
    <row r="13" spans="1:221" ht="15.75" customHeight="1" x14ac:dyDescent="0.15">
      <c r="A13" s="11" t="s">
        <v>14</v>
      </c>
      <c r="B13" s="12">
        <v>80.709999999999994</v>
      </c>
      <c r="C13" s="26">
        <v>81.86</v>
      </c>
      <c r="D13" s="12">
        <v>74.81</v>
      </c>
      <c r="E13" s="1"/>
      <c r="F13" s="12" t="b">
        <v>0</v>
      </c>
      <c r="G13" s="28">
        <v>5</v>
      </c>
      <c r="H13" s="12">
        <v>5</v>
      </c>
      <c r="I13" s="12" t="s">
        <v>4</v>
      </c>
      <c r="J13" s="12">
        <v>0</v>
      </c>
      <c r="K13" s="12" t="s">
        <v>5</v>
      </c>
      <c r="L13" s="12">
        <v>64</v>
      </c>
      <c r="M13" s="12">
        <v>50.884</v>
      </c>
      <c r="N13" s="12">
        <f t="shared" ref="N13:N14" si="2">M13/3600</f>
        <v>1.4134444444444444E-2</v>
      </c>
      <c r="O13" s="12">
        <v>1.5660000000000001</v>
      </c>
      <c r="P13" s="26">
        <v>534</v>
      </c>
      <c r="Q13" s="12">
        <v>1.9E-2</v>
      </c>
      <c r="R13" s="12">
        <v>190.3</v>
      </c>
      <c r="S13" s="33">
        <v>88.77</v>
      </c>
      <c r="T13" s="1"/>
      <c r="U13" s="14" t="b">
        <v>0</v>
      </c>
      <c r="V13" s="15">
        <v>5</v>
      </c>
      <c r="W13" s="15">
        <v>5</v>
      </c>
      <c r="X13" s="11" t="s">
        <v>4</v>
      </c>
      <c r="Y13" s="15">
        <v>0</v>
      </c>
      <c r="Z13" s="11" t="s">
        <v>7</v>
      </c>
      <c r="AA13" s="15">
        <v>48</v>
      </c>
      <c r="AB13" s="15">
        <v>781.54499999999996</v>
      </c>
      <c r="AC13" s="15">
        <f t="shared" ref="AC13:AC14" si="3">AB13/3600</f>
        <v>0.21709583333333332</v>
      </c>
      <c r="AD13" s="15">
        <v>1.5940000000000001</v>
      </c>
      <c r="AE13" s="15">
        <v>599.6</v>
      </c>
      <c r="AF13" s="16">
        <v>86.17</v>
      </c>
    </row>
    <row r="14" spans="1:221" ht="15.75" customHeight="1" x14ac:dyDescent="0.15">
      <c r="A14" s="11" t="s">
        <v>15</v>
      </c>
      <c r="B14" s="12">
        <v>50.43</v>
      </c>
      <c r="C14" s="26">
        <v>50.35</v>
      </c>
      <c r="D14" s="12">
        <v>76.45</v>
      </c>
      <c r="E14" s="1"/>
      <c r="F14" s="12" t="b">
        <v>0</v>
      </c>
      <c r="G14" s="28">
        <v>0.75</v>
      </c>
      <c r="H14" s="12">
        <v>10</v>
      </c>
      <c r="I14" s="12" t="s">
        <v>4</v>
      </c>
      <c r="J14" s="12">
        <v>0</v>
      </c>
      <c r="K14" s="12" t="s">
        <v>5</v>
      </c>
      <c r="L14" s="12">
        <v>64</v>
      </c>
      <c r="M14" s="12">
        <v>137.715</v>
      </c>
      <c r="N14" s="12">
        <f t="shared" si="2"/>
        <v>3.8254166666666665E-2</v>
      </c>
      <c r="O14" s="12">
        <v>3.7389999999999999</v>
      </c>
      <c r="P14" s="26">
        <v>983.7</v>
      </c>
      <c r="Q14" s="12">
        <v>5.9200000000000003E-2</v>
      </c>
      <c r="R14" s="12">
        <v>563</v>
      </c>
      <c r="S14" s="33">
        <v>89.88</v>
      </c>
      <c r="T14" s="1"/>
      <c r="U14" s="14" t="b">
        <v>1</v>
      </c>
      <c r="V14" s="15">
        <v>0.33</v>
      </c>
      <c r="W14" s="15">
        <v>10</v>
      </c>
      <c r="X14" s="11" t="s">
        <v>4</v>
      </c>
      <c r="Y14" s="15">
        <v>0.25</v>
      </c>
      <c r="Z14" s="11" t="s">
        <v>7</v>
      </c>
      <c r="AA14" s="15">
        <v>48</v>
      </c>
      <c r="AB14" s="15">
        <v>1848.394</v>
      </c>
      <c r="AC14" s="15">
        <f t="shared" si="3"/>
        <v>0.5134427777777778</v>
      </c>
      <c r="AD14" s="15">
        <v>3.7330000000000001</v>
      </c>
      <c r="AE14" s="15">
        <v>1046</v>
      </c>
      <c r="AF14" s="16">
        <v>90.03</v>
      </c>
    </row>
    <row r="15" spans="1:221" s="7" customFormat="1" ht="15.75" customHeight="1" x14ac:dyDescent="0.15">
      <c r="A15" s="17"/>
      <c r="B15" s="18"/>
      <c r="C15" s="27"/>
      <c r="D15" s="18"/>
      <c r="E15"/>
      <c r="F15" s="19"/>
      <c r="G15" s="29"/>
      <c r="H15" s="19"/>
      <c r="I15" s="19"/>
      <c r="J15" s="19"/>
      <c r="K15" s="19"/>
      <c r="L15" s="19"/>
      <c r="M15" s="19"/>
      <c r="N15" s="19"/>
      <c r="O15" s="19"/>
      <c r="P15" s="32"/>
      <c r="Q15" s="37"/>
      <c r="R15" s="37"/>
      <c r="S15" s="34"/>
      <c r="T15"/>
      <c r="U15" s="20"/>
      <c r="V15" s="21"/>
      <c r="W15" s="21"/>
      <c r="X15" s="17"/>
      <c r="Y15" s="21"/>
      <c r="Z15" s="17"/>
      <c r="AA15" s="21"/>
      <c r="AB15" s="21"/>
      <c r="AC15" s="21"/>
      <c r="AD15" s="21"/>
      <c r="AE15" s="21"/>
      <c r="AF15" s="22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</row>
    <row r="16" spans="1:221" ht="15.75" customHeight="1" x14ac:dyDescent="0.15">
      <c r="A16" s="11" t="s">
        <v>16</v>
      </c>
      <c r="B16" s="12">
        <v>71.02</v>
      </c>
      <c r="C16" s="26">
        <v>68.489999999999995</v>
      </c>
      <c r="D16" s="12">
        <v>53.4</v>
      </c>
      <c r="E16" s="1"/>
      <c r="F16" s="12" t="b">
        <v>0</v>
      </c>
      <c r="G16" s="28">
        <v>0.1</v>
      </c>
      <c r="H16" s="12">
        <v>10</v>
      </c>
      <c r="I16" s="12" t="s">
        <v>4</v>
      </c>
      <c r="J16" s="12">
        <v>0</v>
      </c>
      <c r="K16" s="12" t="s">
        <v>5</v>
      </c>
      <c r="L16" s="12">
        <v>64</v>
      </c>
      <c r="M16" s="12">
        <v>2015.625</v>
      </c>
      <c r="N16" s="12">
        <f>M16/3600</f>
        <v>0.55989583333333337</v>
      </c>
      <c r="O16" s="12">
        <v>63.274999999999999</v>
      </c>
      <c r="P16" s="26">
        <v>1498.8</v>
      </c>
      <c r="Q16" s="12">
        <v>4.6699999999999998E-2</v>
      </c>
      <c r="R16" s="12">
        <v>1154.5</v>
      </c>
      <c r="S16" s="33">
        <v>72.2</v>
      </c>
      <c r="T16" s="1"/>
      <c r="U16" s="14" t="b">
        <v>1</v>
      </c>
      <c r="V16" s="15">
        <v>0.1</v>
      </c>
      <c r="W16" s="15">
        <v>10</v>
      </c>
      <c r="X16" s="11" t="s">
        <v>4</v>
      </c>
      <c r="Y16" s="15">
        <v>0.1</v>
      </c>
      <c r="Z16" s="11" t="s">
        <v>5</v>
      </c>
      <c r="AA16" s="15">
        <v>48</v>
      </c>
      <c r="AB16" s="15">
        <v>25430.401999999998</v>
      </c>
      <c r="AC16" s="15">
        <f>AB16/3600</f>
        <v>7.0640005555555554</v>
      </c>
      <c r="AD16" s="15">
        <v>65.16</v>
      </c>
      <c r="AE16" s="15">
        <v>2461.3000000000002</v>
      </c>
      <c r="AF16" s="16">
        <v>74.489999999999995</v>
      </c>
    </row>
    <row r="17" spans="1:221" s="7" customFormat="1" ht="15.75" customHeight="1" x14ac:dyDescent="0.15">
      <c r="A17" s="17"/>
      <c r="B17" s="18"/>
      <c r="C17" s="27"/>
      <c r="D17" s="18"/>
      <c r="E17"/>
      <c r="F17" s="19"/>
      <c r="G17" s="29"/>
      <c r="H17" s="19"/>
      <c r="I17" s="19"/>
      <c r="J17" s="19"/>
      <c r="K17" s="19"/>
      <c r="L17" s="19"/>
      <c r="M17" s="19"/>
      <c r="N17" s="19"/>
      <c r="O17" s="19"/>
      <c r="P17" s="32"/>
      <c r="Q17" s="37"/>
      <c r="R17" s="37"/>
      <c r="S17" s="34"/>
      <c r="T17"/>
      <c r="U17" s="20"/>
      <c r="V17" s="21"/>
      <c r="W17" s="21"/>
      <c r="X17" s="17"/>
      <c r="Y17" s="21"/>
      <c r="Z17" s="17"/>
      <c r="AA17" s="21"/>
      <c r="AB17" s="21"/>
      <c r="AC17" s="21"/>
      <c r="AD17" s="21"/>
      <c r="AE17" s="21"/>
      <c r="AF17" s="22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</row>
    <row r="18" spans="1:221" ht="15.75" customHeight="1" x14ac:dyDescent="0.15">
      <c r="A18" s="11" t="s">
        <v>17</v>
      </c>
      <c r="B18" s="12">
        <v>56.26</v>
      </c>
      <c r="C18" s="26">
        <v>64.23</v>
      </c>
      <c r="D18" s="12">
        <v>60</v>
      </c>
      <c r="E18" s="1"/>
      <c r="F18" s="12" t="b">
        <v>0</v>
      </c>
      <c r="G18" s="28">
        <v>5</v>
      </c>
      <c r="H18" s="12">
        <v>5</v>
      </c>
      <c r="I18" s="12" t="s">
        <v>4</v>
      </c>
      <c r="J18" s="12">
        <v>0</v>
      </c>
      <c r="K18" s="12" t="s">
        <v>5</v>
      </c>
      <c r="L18" s="12">
        <v>64</v>
      </c>
      <c r="M18" s="12">
        <v>10.465</v>
      </c>
      <c r="N18" s="12">
        <f t="shared" ref="N18:N22" si="4">M18/3600</f>
        <v>2.9069444444444442E-3</v>
      </c>
      <c r="O18" s="12">
        <v>0.36399999999999999</v>
      </c>
      <c r="P18" s="26">
        <v>280.3</v>
      </c>
      <c r="Q18" s="12">
        <v>4.2500000000000003E-2</v>
      </c>
      <c r="R18" s="12">
        <v>108.7</v>
      </c>
      <c r="S18" s="33">
        <v>75.19</v>
      </c>
      <c r="T18" s="1"/>
      <c r="U18" s="14" t="b">
        <v>1</v>
      </c>
      <c r="V18" s="15">
        <v>5</v>
      </c>
      <c r="W18" s="15">
        <v>10</v>
      </c>
      <c r="X18" s="11" t="s">
        <v>4</v>
      </c>
      <c r="Y18" s="15">
        <v>0</v>
      </c>
      <c r="Z18" s="11" t="s">
        <v>5</v>
      </c>
      <c r="AA18" s="15">
        <v>48</v>
      </c>
      <c r="AB18" s="15">
        <v>182.44900000000001</v>
      </c>
      <c r="AC18" s="15">
        <f t="shared" ref="AC18:AC22" si="5">AB18/3600</f>
        <v>5.0680277777777782E-2</v>
      </c>
      <c r="AD18" s="15">
        <v>0.371</v>
      </c>
      <c r="AE18" s="15">
        <v>348.5</v>
      </c>
      <c r="AF18" s="16">
        <v>76.540000000000006</v>
      </c>
    </row>
    <row r="19" spans="1:221" ht="15.75" customHeight="1" x14ac:dyDescent="0.15">
      <c r="A19" s="11" t="s">
        <v>18</v>
      </c>
      <c r="B19" s="12">
        <v>84.77</v>
      </c>
      <c r="C19" s="26">
        <v>86.26</v>
      </c>
      <c r="D19" s="12">
        <v>66.849999999999994</v>
      </c>
      <c r="E19" s="1"/>
      <c r="F19" s="12" t="b">
        <v>0</v>
      </c>
      <c r="G19" s="28">
        <v>5</v>
      </c>
      <c r="H19" s="12">
        <v>5</v>
      </c>
      <c r="I19" s="12" t="s">
        <v>4</v>
      </c>
      <c r="J19" s="12">
        <v>0</v>
      </c>
      <c r="K19" s="12" t="s">
        <v>5</v>
      </c>
      <c r="L19" s="12">
        <v>64</v>
      </c>
      <c r="M19" s="12">
        <v>75.358999999999995</v>
      </c>
      <c r="N19" s="12">
        <f t="shared" si="4"/>
        <v>2.0933055555555555E-2</v>
      </c>
      <c r="O19" s="12">
        <v>2.8690000000000002</v>
      </c>
      <c r="P19" s="26">
        <v>547.20000000000005</v>
      </c>
      <c r="Q19" s="12">
        <v>3.8399999999999997E-2</v>
      </c>
      <c r="R19" s="12">
        <v>152.5</v>
      </c>
      <c r="S19" s="35">
        <v>85.1</v>
      </c>
      <c r="T19" s="1"/>
      <c r="U19" s="14" t="b">
        <v>1</v>
      </c>
      <c r="V19" s="15">
        <v>5</v>
      </c>
      <c r="W19" s="15">
        <v>3</v>
      </c>
      <c r="X19" s="11" t="s">
        <v>4</v>
      </c>
      <c r="Y19" s="15">
        <v>0.1</v>
      </c>
      <c r="Z19" s="11" t="s">
        <v>5</v>
      </c>
      <c r="AA19" s="15">
        <v>48</v>
      </c>
      <c r="AB19" s="15">
        <v>1378.09</v>
      </c>
      <c r="AC19" s="15">
        <f t="shared" si="5"/>
        <v>0.38280277777777777</v>
      </c>
      <c r="AD19" s="15">
        <v>2.8159999999999998</v>
      </c>
      <c r="AE19" s="15">
        <v>613.4</v>
      </c>
      <c r="AF19" s="23">
        <v>85.81</v>
      </c>
    </row>
    <row r="20" spans="1:221" ht="15.75" customHeight="1" x14ac:dyDescent="0.15">
      <c r="A20" s="11" t="s">
        <v>19</v>
      </c>
      <c r="B20" s="12">
        <v>79.319999999999993</v>
      </c>
      <c r="C20" s="26">
        <v>81.28</v>
      </c>
      <c r="D20" s="12">
        <v>71.95</v>
      </c>
      <c r="E20" s="1"/>
      <c r="F20" s="12" t="b">
        <v>0</v>
      </c>
      <c r="G20" s="28">
        <v>3</v>
      </c>
      <c r="H20" s="12">
        <v>5</v>
      </c>
      <c r="I20" s="12" t="s">
        <v>4</v>
      </c>
      <c r="J20" s="12">
        <v>0</v>
      </c>
      <c r="K20" s="12" t="s">
        <v>5</v>
      </c>
      <c r="L20" s="12">
        <v>64</v>
      </c>
      <c r="M20" s="12">
        <v>5.3120000000000003</v>
      </c>
      <c r="N20" s="12">
        <f t="shared" si="4"/>
        <v>1.4755555555555557E-3</v>
      </c>
      <c r="O20" s="12">
        <v>0.16200000000000001</v>
      </c>
      <c r="P20" s="26">
        <v>258.10000000000002</v>
      </c>
      <c r="Q20" s="12">
        <v>2.64E-2</v>
      </c>
      <c r="R20" s="12">
        <v>71</v>
      </c>
      <c r="S20" s="33">
        <v>85.98</v>
      </c>
      <c r="T20" s="1"/>
      <c r="U20" s="14" t="b">
        <v>0</v>
      </c>
      <c r="V20" s="15">
        <v>3</v>
      </c>
      <c r="W20" s="15">
        <v>1</v>
      </c>
      <c r="X20" s="11" t="s">
        <v>4</v>
      </c>
      <c r="Y20" s="15">
        <v>0.1</v>
      </c>
      <c r="Z20" s="11" t="s">
        <v>5</v>
      </c>
      <c r="AA20" s="15">
        <v>48</v>
      </c>
      <c r="AB20" s="15">
        <v>92.051000000000002</v>
      </c>
      <c r="AC20" s="15">
        <f t="shared" si="5"/>
        <v>2.5569722222222223E-2</v>
      </c>
      <c r="AD20" s="15">
        <v>0.157</v>
      </c>
      <c r="AE20" s="15">
        <v>345.4</v>
      </c>
      <c r="AF20" s="16">
        <v>83.54</v>
      </c>
    </row>
    <row r="21" spans="1:221" ht="15.75" customHeight="1" x14ac:dyDescent="0.15">
      <c r="A21" s="11" t="s">
        <v>20</v>
      </c>
      <c r="B21" s="12">
        <v>66.47</v>
      </c>
      <c r="C21" s="26">
        <v>73.489999999999995</v>
      </c>
      <c r="D21" s="12">
        <v>66.53</v>
      </c>
      <c r="E21" s="1"/>
      <c r="F21" s="12" t="b">
        <v>0</v>
      </c>
      <c r="G21" s="28">
        <v>5</v>
      </c>
      <c r="H21" s="12">
        <v>10</v>
      </c>
      <c r="I21" s="12" t="s">
        <v>4</v>
      </c>
      <c r="J21" s="12">
        <v>0</v>
      </c>
      <c r="K21" s="12" t="s">
        <v>5</v>
      </c>
      <c r="L21" s="12">
        <v>64</v>
      </c>
      <c r="M21" s="12">
        <v>4.2880000000000003</v>
      </c>
      <c r="N21" s="12">
        <f t="shared" si="4"/>
        <v>1.1911111111111111E-3</v>
      </c>
      <c r="O21" s="12">
        <v>0.126</v>
      </c>
      <c r="P21" s="26">
        <v>258.5</v>
      </c>
      <c r="Q21" s="12">
        <v>2.75E-2</v>
      </c>
      <c r="R21" s="12">
        <v>78.5</v>
      </c>
      <c r="S21" s="33">
        <v>76.989999999999995</v>
      </c>
      <c r="T21" s="1"/>
      <c r="U21" s="14" t="b">
        <v>1</v>
      </c>
      <c r="V21" s="15">
        <v>0.75</v>
      </c>
      <c r="W21" s="15">
        <v>7</v>
      </c>
      <c r="X21" s="11" t="s">
        <v>4</v>
      </c>
      <c r="Y21" s="15">
        <v>0.1</v>
      </c>
      <c r="Z21" s="11" t="s">
        <v>7</v>
      </c>
      <c r="AA21" s="15">
        <v>48</v>
      </c>
      <c r="AB21" s="15">
        <v>77.358999999999995</v>
      </c>
      <c r="AC21" s="15">
        <f t="shared" si="5"/>
        <v>2.1488611111111111E-2</v>
      </c>
      <c r="AD21" s="15">
        <v>0.11799999999999999</v>
      </c>
      <c r="AE21" s="15">
        <v>345.5</v>
      </c>
      <c r="AF21" s="16">
        <v>75.31</v>
      </c>
    </row>
    <row r="22" spans="1:221" ht="15.75" customHeight="1" x14ac:dyDescent="0.15">
      <c r="A22" s="11" t="s">
        <v>21</v>
      </c>
      <c r="B22" s="12">
        <v>52.66</v>
      </c>
      <c r="C22" s="26">
        <v>50.8</v>
      </c>
      <c r="D22" s="12">
        <v>54.01</v>
      </c>
      <c r="E22" s="1"/>
      <c r="F22" s="12" t="b">
        <v>0</v>
      </c>
      <c r="G22" s="28">
        <v>5</v>
      </c>
      <c r="H22" s="12">
        <v>5</v>
      </c>
      <c r="I22" s="12" t="s">
        <v>4</v>
      </c>
      <c r="J22" s="12">
        <v>0</v>
      </c>
      <c r="K22" s="12" t="s">
        <v>5</v>
      </c>
      <c r="L22" s="12">
        <v>64</v>
      </c>
      <c r="M22" s="12">
        <v>22.041</v>
      </c>
      <c r="N22" s="12">
        <f t="shared" si="4"/>
        <v>6.1225000000000003E-3</v>
      </c>
      <c r="O22" s="12">
        <v>0.80900000000000005</v>
      </c>
      <c r="P22" s="26">
        <v>340.3</v>
      </c>
      <c r="Q22" s="12">
        <v>3.9300000000000002E-2</v>
      </c>
      <c r="R22" s="12">
        <v>150.80000000000001</v>
      </c>
      <c r="S22" s="33">
        <v>68.83</v>
      </c>
      <c r="T22" s="1"/>
      <c r="U22" s="14" t="b">
        <v>1</v>
      </c>
      <c r="V22" s="15">
        <v>5</v>
      </c>
      <c r="W22" s="15">
        <v>10</v>
      </c>
      <c r="X22" s="11" t="s">
        <v>4</v>
      </c>
      <c r="Y22" s="15">
        <v>0</v>
      </c>
      <c r="Z22" s="11" t="s">
        <v>5</v>
      </c>
      <c r="AA22" s="15">
        <v>48</v>
      </c>
      <c r="AB22" s="15">
        <v>408.173</v>
      </c>
      <c r="AC22" s="15">
        <f t="shared" si="5"/>
        <v>0.11338138888888889</v>
      </c>
      <c r="AD22" s="15">
        <v>0.85199999999999998</v>
      </c>
      <c r="AE22" s="15">
        <v>389.3</v>
      </c>
      <c r="AF22" s="16">
        <v>68.03</v>
      </c>
    </row>
    <row r="23" spans="1:221" s="7" customFormat="1" ht="15.75" customHeight="1" x14ac:dyDescent="0.15">
      <c r="A23" s="17"/>
      <c r="B23" s="18"/>
      <c r="C23" s="27"/>
      <c r="D23" s="18"/>
      <c r="E23"/>
      <c r="F23" s="19"/>
      <c r="G23" s="29"/>
      <c r="H23" s="19"/>
      <c r="I23" s="19"/>
      <c r="J23" s="19"/>
      <c r="K23" s="19"/>
      <c r="L23" s="19"/>
      <c r="M23" s="19"/>
      <c r="N23" s="19"/>
      <c r="O23" s="19"/>
      <c r="P23" s="32"/>
      <c r="Q23" s="37"/>
      <c r="R23" s="37"/>
      <c r="S23" s="34"/>
      <c r="T23"/>
      <c r="U23" s="20"/>
      <c r="V23" s="21"/>
      <c r="W23" s="21"/>
      <c r="X23" s="17"/>
      <c r="Y23" s="21"/>
      <c r="Z23" s="17"/>
      <c r="AA23" s="21"/>
      <c r="AB23" s="21"/>
      <c r="AC23" s="21"/>
      <c r="AD23" s="21"/>
      <c r="AE23" s="21"/>
      <c r="AF23" s="22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</row>
    <row r="24" spans="1:221" ht="15.75" customHeight="1" x14ac:dyDescent="0.15">
      <c r="A24" s="11" t="s">
        <v>22</v>
      </c>
      <c r="B24" s="12">
        <v>71.59</v>
      </c>
      <c r="C24" s="26">
        <v>68.790000000000006</v>
      </c>
      <c r="D24" s="12">
        <v>70.540000000000006</v>
      </c>
      <c r="E24" s="1"/>
      <c r="F24" s="12" t="b">
        <v>0</v>
      </c>
      <c r="G24" s="28">
        <v>3</v>
      </c>
      <c r="H24" s="12">
        <v>1</v>
      </c>
      <c r="I24" s="12" t="s">
        <v>4</v>
      </c>
      <c r="J24" s="12">
        <v>0</v>
      </c>
      <c r="K24" s="12" t="s">
        <v>5</v>
      </c>
      <c r="L24" s="12">
        <v>64</v>
      </c>
      <c r="M24" s="12">
        <v>128.86099999999999</v>
      </c>
      <c r="N24" s="12">
        <f t="shared" ref="N24:N26" si="6">M24/3600</f>
        <v>3.5794722222222221E-2</v>
      </c>
      <c r="O24" s="12">
        <v>4.1740000000000004</v>
      </c>
      <c r="P24" s="26">
        <v>829.6</v>
      </c>
      <c r="Q24" s="12">
        <v>1.8100000000000002E-2</v>
      </c>
      <c r="R24" s="12">
        <v>148.6</v>
      </c>
      <c r="S24" s="33">
        <v>78.72</v>
      </c>
      <c r="T24" s="1"/>
      <c r="U24" s="14" t="b">
        <v>0</v>
      </c>
      <c r="V24" s="15">
        <v>0.5</v>
      </c>
      <c r="W24" s="15">
        <v>1</v>
      </c>
      <c r="X24" s="11" t="s">
        <v>4</v>
      </c>
      <c r="Y24" s="15">
        <v>0</v>
      </c>
      <c r="Z24" s="11" t="s">
        <v>7</v>
      </c>
      <c r="AA24" s="15">
        <v>48</v>
      </c>
      <c r="AB24" s="15">
        <v>2174.3290000000002</v>
      </c>
      <c r="AC24" s="15">
        <f t="shared" ref="AC24:AC26" si="7">AB24/3600</f>
        <v>0.60398027777777785</v>
      </c>
      <c r="AD24" s="15">
        <v>4.1589999999999998</v>
      </c>
      <c r="AE24" s="15">
        <v>871.2</v>
      </c>
      <c r="AF24" s="16">
        <v>74.760000000000005</v>
      </c>
    </row>
    <row r="25" spans="1:221" ht="15.75" customHeight="1" x14ac:dyDescent="0.15">
      <c r="A25" s="11" t="s">
        <v>23</v>
      </c>
      <c r="B25" s="12">
        <v>94.27</v>
      </c>
      <c r="C25" s="26">
        <v>94.34</v>
      </c>
      <c r="D25" s="12">
        <v>73.11</v>
      </c>
      <c r="E25" s="1"/>
      <c r="F25" s="12" t="b">
        <v>0</v>
      </c>
      <c r="G25" s="28">
        <v>3</v>
      </c>
      <c r="H25" s="12">
        <v>1</v>
      </c>
      <c r="I25" s="12" t="s">
        <v>4</v>
      </c>
      <c r="J25" s="12">
        <v>0</v>
      </c>
      <c r="K25" s="12" t="s">
        <v>5</v>
      </c>
      <c r="L25" s="12">
        <v>64</v>
      </c>
      <c r="M25" s="12">
        <v>115.363</v>
      </c>
      <c r="N25" s="12">
        <f t="shared" si="6"/>
        <v>3.2045277777777777E-2</v>
      </c>
      <c r="O25" s="12">
        <v>3.762</v>
      </c>
      <c r="P25" s="26">
        <v>815.3</v>
      </c>
      <c r="Q25" s="12">
        <v>2.3900000000000001E-2</v>
      </c>
      <c r="R25" s="12">
        <v>145.4</v>
      </c>
      <c r="S25" s="35">
        <v>81.36</v>
      </c>
      <c r="T25" s="1"/>
      <c r="U25" s="14" t="b">
        <v>0</v>
      </c>
      <c r="V25" s="15">
        <v>0.5</v>
      </c>
      <c r="W25" s="15">
        <v>1</v>
      </c>
      <c r="X25" s="11" t="s">
        <v>4</v>
      </c>
      <c r="Y25" s="15">
        <v>0</v>
      </c>
      <c r="Z25" s="11" t="s">
        <v>7</v>
      </c>
      <c r="AA25" s="15">
        <v>48</v>
      </c>
      <c r="AB25" s="15">
        <v>1960.5550000000001</v>
      </c>
      <c r="AC25" s="15">
        <f t="shared" si="7"/>
        <v>0.54459861111111108</v>
      </c>
      <c r="AD25" s="15">
        <v>3.7280000000000002</v>
      </c>
      <c r="AE25" s="15">
        <v>862.5</v>
      </c>
      <c r="AF25" s="23">
        <v>78.09</v>
      </c>
    </row>
    <row r="26" spans="1:221" ht="15.75" customHeight="1" x14ac:dyDescent="0.15">
      <c r="A26" s="11" t="s">
        <v>24</v>
      </c>
      <c r="B26" s="12">
        <v>86.77</v>
      </c>
      <c r="C26" s="26">
        <v>88.31</v>
      </c>
      <c r="D26" s="12">
        <v>59.71</v>
      </c>
      <c r="E26" s="1"/>
      <c r="F26" s="12" t="b">
        <v>0</v>
      </c>
      <c r="G26" s="28">
        <v>3</v>
      </c>
      <c r="H26" s="12">
        <v>10</v>
      </c>
      <c r="I26" s="12" t="s">
        <v>4</v>
      </c>
      <c r="J26" s="12">
        <v>0</v>
      </c>
      <c r="K26" s="12" t="s">
        <v>5</v>
      </c>
      <c r="L26" s="12">
        <v>64</v>
      </c>
      <c r="M26" s="12">
        <v>16.643000000000001</v>
      </c>
      <c r="N26" s="12">
        <f t="shared" si="6"/>
        <v>4.6230555555555556E-3</v>
      </c>
      <c r="O26" s="12">
        <v>0.56999999999999995</v>
      </c>
      <c r="P26" s="26">
        <v>384.9</v>
      </c>
      <c r="Q26" s="12">
        <v>2.46E-2</v>
      </c>
      <c r="R26" s="12">
        <v>149.69999999999999</v>
      </c>
      <c r="S26" s="35">
        <v>64.27</v>
      </c>
      <c r="T26" s="1"/>
      <c r="U26" s="14" t="b">
        <v>1</v>
      </c>
      <c r="V26" s="15">
        <v>3</v>
      </c>
      <c r="W26" s="15">
        <v>10</v>
      </c>
      <c r="X26" s="11" t="s">
        <v>4</v>
      </c>
      <c r="Y26" s="15">
        <v>0</v>
      </c>
      <c r="Z26" s="11" t="s">
        <v>7</v>
      </c>
      <c r="AA26" s="15">
        <v>48</v>
      </c>
      <c r="AB26" s="15">
        <v>242.98599999999999</v>
      </c>
      <c r="AC26" s="15">
        <f t="shared" si="7"/>
        <v>6.7496111111111104E-2</v>
      </c>
      <c r="AD26" s="15">
        <v>0.52500000000000002</v>
      </c>
      <c r="AE26" s="15">
        <v>381.1</v>
      </c>
      <c r="AF26" s="23">
        <v>63.62</v>
      </c>
    </row>
    <row r="27" spans="1:221" s="7" customFormat="1" ht="15.75" customHeight="1" x14ac:dyDescent="0.15">
      <c r="A27" s="17"/>
      <c r="B27" s="18"/>
      <c r="C27" s="27"/>
      <c r="D27" s="18"/>
      <c r="E27"/>
      <c r="F27" s="19"/>
      <c r="G27" s="29"/>
      <c r="H27" s="19"/>
      <c r="I27" s="19"/>
      <c r="J27" s="19"/>
      <c r="K27" s="19"/>
      <c r="L27" s="19"/>
      <c r="M27" s="19"/>
      <c r="N27" s="19"/>
      <c r="O27" s="19"/>
      <c r="P27" s="32"/>
      <c r="Q27" s="37"/>
      <c r="R27" s="37"/>
      <c r="S27" s="34"/>
      <c r="T27"/>
      <c r="U27" s="20"/>
      <c r="V27" s="21"/>
      <c r="W27" s="21"/>
      <c r="X27" s="17"/>
      <c r="Y27" s="21"/>
      <c r="Z27" s="17"/>
      <c r="AA27" s="21"/>
      <c r="AB27" s="21"/>
      <c r="AC27" s="21"/>
      <c r="AD27" s="21"/>
      <c r="AE27" s="21"/>
      <c r="AF27" s="22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</row>
    <row r="28" spans="1:221" ht="15.75" customHeight="1" x14ac:dyDescent="0.15">
      <c r="A28" s="11" t="s">
        <v>25</v>
      </c>
      <c r="B28" s="12">
        <v>74.17</v>
      </c>
      <c r="C28" s="26">
        <v>76.180000000000007</v>
      </c>
      <c r="D28" s="12">
        <v>73.739999999999995</v>
      </c>
      <c r="E28" s="1"/>
      <c r="F28" s="12" t="b">
        <v>0</v>
      </c>
      <c r="G28" s="28">
        <v>5</v>
      </c>
      <c r="H28" s="12">
        <v>1</v>
      </c>
      <c r="I28" s="12" t="s">
        <v>4</v>
      </c>
      <c r="J28" s="12">
        <v>0</v>
      </c>
      <c r="K28" s="12" t="s">
        <v>5</v>
      </c>
      <c r="L28" s="12">
        <v>64</v>
      </c>
      <c r="M28" s="12">
        <v>53.302999999999997</v>
      </c>
      <c r="N28" s="12">
        <f t="shared" ref="N28:N30" si="8">M28/3600</f>
        <v>1.4806388888888888E-2</v>
      </c>
      <c r="O28" s="12">
        <v>2.1440000000000001</v>
      </c>
      <c r="P28" s="26">
        <v>405.3</v>
      </c>
      <c r="Q28" s="12">
        <v>6.2300000000000001E-2</v>
      </c>
      <c r="R28" s="12">
        <v>89.1</v>
      </c>
      <c r="S28" s="35">
        <v>71.88</v>
      </c>
      <c r="T28" s="1"/>
      <c r="U28" s="14" t="b">
        <v>1</v>
      </c>
      <c r="V28" s="15">
        <v>3</v>
      </c>
      <c r="W28" s="15">
        <v>1</v>
      </c>
      <c r="X28" s="11" t="s">
        <v>4</v>
      </c>
      <c r="Y28" s="15">
        <v>0</v>
      </c>
      <c r="Z28" s="11" t="s">
        <v>5</v>
      </c>
      <c r="AA28" s="15">
        <v>48</v>
      </c>
      <c r="AB28" s="15">
        <v>1061.424</v>
      </c>
      <c r="AC28" s="15">
        <f t="shared" ref="AC28:AC30" si="9">AB28/3600</f>
        <v>0.29483999999999999</v>
      </c>
      <c r="AD28" s="15">
        <v>2.16</v>
      </c>
      <c r="AE28" s="15">
        <v>445.4</v>
      </c>
      <c r="AF28" s="23">
        <v>72.209999999999994</v>
      </c>
    </row>
    <row r="29" spans="1:221" ht="15.75" customHeight="1" x14ac:dyDescent="0.15">
      <c r="A29" s="11" t="s">
        <v>26</v>
      </c>
      <c r="B29" s="12">
        <v>68.040000000000006</v>
      </c>
      <c r="C29" s="26">
        <v>69.53</v>
      </c>
      <c r="D29" s="12">
        <v>65.86</v>
      </c>
      <c r="E29" s="1"/>
      <c r="F29" s="12" t="b">
        <v>0</v>
      </c>
      <c r="G29" s="28">
        <v>3</v>
      </c>
      <c r="H29" s="12">
        <v>1</v>
      </c>
      <c r="I29" s="12" t="s">
        <v>4</v>
      </c>
      <c r="J29" s="12">
        <v>0</v>
      </c>
      <c r="K29" s="12" t="s">
        <v>5</v>
      </c>
      <c r="L29" s="12">
        <v>64</v>
      </c>
      <c r="M29" s="12">
        <v>47.920999999999999</v>
      </c>
      <c r="N29" s="12">
        <f t="shared" si="8"/>
        <v>1.3311388888888888E-2</v>
      </c>
      <c r="O29" s="12">
        <v>1.917</v>
      </c>
      <c r="P29" s="26">
        <v>400</v>
      </c>
      <c r="Q29" s="12">
        <v>4.53E-2</v>
      </c>
      <c r="R29" s="12">
        <v>88.1</v>
      </c>
      <c r="S29" s="33">
        <v>73.959999999999994</v>
      </c>
      <c r="T29" s="1"/>
      <c r="U29" s="14" t="b">
        <v>0</v>
      </c>
      <c r="V29" s="15">
        <v>3</v>
      </c>
      <c r="W29" s="15">
        <v>1</v>
      </c>
      <c r="X29" s="11" t="s">
        <v>4</v>
      </c>
      <c r="Y29" s="15">
        <v>0</v>
      </c>
      <c r="Z29" s="11" t="s">
        <v>5</v>
      </c>
      <c r="AA29" s="15">
        <v>48</v>
      </c>
      <c r="AB29" s="15">
        <v>963.66099999999994</v>
      </c>
      <c r="AC29" s="15">
        <f t="shared" si="9"/>
        <v>0.26768361111111111</v>
      </c>
      <c r="AD29" s="15">
        <v>1.9350000000000001</v>
      </c>
      <c r="AE29" s="15">
        <v>424.5</v>
      </c>
      <c r="AF29" s="16">
        <v>73.959999999999994</v>
      </c>
    </row>
    <row r="30" spans="1:221" ht="15.75" customHeight="1" x14ac:dyDescent="0.15">
      <c r="A30" s="11" t="s">
        <v>27</v>
      </c>
      <c r="B30" s="12">
        <v>69.37</v>
      </c>
      <c r="C30" s="26">
        <v>67.5</v>
      </c>
      <c r="D30" s="12">
        <v>65.099999999999994</v>
      </c>
      <c r="E30" s="1"/>
      <c r="F30" s="12" t="b">
        <v>0</v>
      </c>
      <c r="G30" s="28">
        <v>3</v>
      </c>
      <c r="H30" s="12">
        <v>3</v>
      </c>
      <c r="I30" s="12" t="s">
        <v>4</v>
      </c>
      <c r="J30" s="12">
        <v>0</v>
      </c>
      <c r="K30" s="12" t="s">
        <v>5</v>
      </c>
      <c r="L30" s="12">
        <v>64</v>
      </c>
      <c r="M30" s="12">
        <v>7.31</v>
      </c>
      <c r="N30" s="12">
        <f t="shared" si="8"/>
        <v>2.0305555555555554E-3</v>
      </c>
      <c r="O30" s="12">
        <v>0.29799999999999999</v>
      </c>
      <c r="P30" s="26">
        <v>259.5</v>
      </c>
      <c r="Q30" s="12">
        <v>4.65E-2</v>
      </c>
      <c r="R30" s="12">
        <v>76.7</v>
      </c>
      <c r="S30" s="33">
        <v>75.040000000000006</v>
      </c>
      <c r="T30" s="1"/>
      <c r="U30" s="14" t="b">
        <v>0</v>
      </c>
      <c r="V30" s="15">
        <v>5</v>
      </c>
      <c r="W30" s="15">
        <v>3</v>
      </c>
      <c r="X30" s="11" t="s">
        <v>4</v>
      </c>
      <c r="Y30" s="15">
        <v>0.25</v>
      </c>
      <c r="Z30" s="11" t="s">
        <v>5</v>
      </c>
      <c r="AA30" s="15">
        <v>48</v>
      </c>
      <c r="AB30" s="15">
        <v>132.55500000000001</v>
      </c>
      <c r="AC30" s="15">
        <f t="shared" si="9"/>
        <v>3.6820833333333337E-2</v>
      </c>
      <c r="AD30" s="15">
        <v>0.23499999999999999</v>
      </c>
      <c r="AE30" s="15">
        <v>346.6</v>
      </c>
      <c r="AF30" s="16">
        <v>78.47</v>
      </c>
    </row>
    <row r="31" spans="1:221" s="7" customFormat="1" ht="15.75" customHeight="1" x14ac:dyDescent="0.15">
      <c r="A31" s="17"/>
      <c r="B31" s="18"/>
      <c r="C31" s="27"/>
      <c r="D31" s="18"/>
      <c r="E31"/>
      <c r="F31" s="19"/>
      <c r="G31" s="29"/>
      <c r="H31" s="19"/>
      <c r="I31" s="19"/>
      <c r="J31" s="19"/>
      <c r="K31" s="19"/>
      <c r="L31" s="19"/>
      <c r="M31" s="19"/>
      <c r="N31" s="19"/>
      <c r="O31" s="19"/>
      <c r="P31" s="32"/>
      <c r="Q31" s="37"/>
      <c r="R31" s="37"/>
      <c r="S31" s="34"/>
      <c r="T31"/>
      <c r="U31" s="20"/>
      <c r="V31" s="21"/>
      <c r="W31" s="21"/>
      <c r="X31" s="17"/>
      <c r="Y31" s="21"/>
      <c r="Z31" s="17"/>
      <c r="AA31" s="21"/>
      <c r="AB31" s="21"/>
      <c r="AC31" s="21"/>
      <c r="AD31" s="21"/>
      <c r="AE31" s="21"/>
      <c r="AF31" s="22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</row>
    <row r="32" spans="1:221" ht="15.75" customHeight="1" x14ac:dyDescent="0.15">
      <c r="A32" s="11" t="s">
        <v>28</v>
      </c>
      <c r="B32" s="12">
        <v>84.99</v>
      </c>
      <c r="C32" s="26">
        <v>85.93</v>
      </c>
      <c r="D32" s="12">
        <v>56.53</v>
      </c>
      <c r="E32" s="1"/>
      <c r="F32" s="12" t="b">
        <v>0</v>
      </c>
      <c r="G32" s="28">
        <v>5</v>
      </c>
      <c r="H32" s="12">
        <v>10</v>
      </c>
      <c r="I32" s="12" t="s">
        <v>4</v>
      </c>
      <c r="J32" s="12">
        <v>0</v>
      </c>
      <c r="K32" s="12" t="s">
        <v>5</v>
      </c>
      <c r="L32" s="12">
        <v>64</v>
      </c>
      <c r="M32" s="12">
        <v>175.48699999999999</v>
      </c>
      <c r="N32" s="12">
        <f>M32/3600</f>
        <v>4.8746388888888888E-2</v>
      </c>
      <c r="O32" s="12">
        <v>4.8239999999999998</v>
      </c>
      <c r="P32" s="26">
        <v>1030.7</v>
      </c>
      <c r="Q32" s="12">
        <v>5.3100000000000001E-2</v>
      </c>
      <c r="R32" s="12">
        <v>570.4</v>
      </c>
      <c r="S32" s="35">
        <v>62.47</v>
      </c>
      <c r="T32" s="1"/>
      <c r="U32" s="14" t="b">
        <v>1</v>
      </c>
      <c r="V32" s="15">
        <v>5</v>
      </c>
      <c r="W32" s="15">
        <v>10</v>
      </c>
      <c r="X32" s="11" t="s">
        <v>4</v>
      </c>
      <c r="Y32" s="15">
        <v>0.25</v>
      </c>
      <c r="Z32" s="11" t="s">
        <v>7</v>
      </c>
      <c r="AA32" s="15">
        <v>48</v>
      </c>
      <c r="AB32" s="15">
        <v>2337.922</v>
      </c>
      <c r="AC32" s="15">
        <f>AB32/3600</f>
        <v>0.64942277777777779</v>
      </c>
      <c r="AD32" s="15">
        <v>4.8040000000000003</v>
      </c>
      <c r="AE32" s="15">
        <v>1027.4000000000001</v>
      </c>
      <c r="AF32" s="23">
        <v>61.4</v>
      </c>
    </row>
    <row r="33" spans="1:221" s="7" customFormat="1" ht="15.75" customHeight="1" x14ac:dyDescent="0.15">
      <c r="A33" s="17"/>
      <c r="B33" s="18"/>
      <c r="C33" s="27"/>
      <c r="D33" s="18"/>
      <c r="E33"/>
      <c r="F33" s="19"/>
      <c r="G33" s="29"/>
      <c r="H33" s="19"/>
      <c r="I33" s="19"/>
      <c r="J33" s="19"/>
      <c r="K33" s="19"/>
      <c r="L33" s="19"/>
      <c r="M33" s="19"/>
      <c r="N33" s="19"/>
      <c r="O33" s="19"/>
      <c r="P33" s="32"/>
      <c r="Q33" s="37"/>
      <c r="R33" s="37"/>
      <c r="S33" s="34"/>
      <c r="T33"/>
      <c r="U33" s="20"/>
      <c r="V33" s="21"/>
      <c r="W33" s="21"/>
      <c r="X33" s="17"/>
      <c r="Y33" s="21"/>
      <c r="Z33" s="17"/>
      <c r="AA33" s="21"/>
      <c r="AB33" s="21"/>
      <c r="AC33" s="21"/>
      <c r="AD33" s="21"/>
      <c r="AE33" s="21"/>
      <c r="AF33" s="22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</row>
    <row r="34" spans="1:221" ht="15.75" customHeight="1" x14ac:dyDescent="0.15">
      <c r="A34" s="11" t="s">
        <v>29</v>
      </c>
      <c r="B34" s="12">
        <v>71.989999999999995</v>
      </c>
      <c r="C34" s="26">
        <v>69.12</v>
      </c>
      <c r="D34" s="12">
        <v>66.900000000000006</v>
      </c>
      <c r="E34" s="1"/>
      <c r="F34" s="12" t="b">
        <v>0</v>
      </c>
      <c r="G34" s="28">
        <v>5</v>
      </c>
      <c r="H34" s="12">
        <v>5</v>
      </c>
      <c r="I34" s="12" t="s">
        <v>4</v>
      </c>
      <c r="J34" s="12">
        <v>0</v>
      </c>
      <c r="K34" s="12" t="s">
        <v>5</v>
      </c>
      <c r="L34" s="12">
        <v>64</v>
      </c>
      <c r="M34" s="12">
        <v>37.673999999999999</v>
      </c>
      <c r="N34" s="12">
        <f t="shared" ref="N34:N38" si="10">M34/3600</f>
        <v>1.0465E-2</v>
      </c>
      <c r="O34" s="12">
        <v>0.45400000000000001</v>
      </c>
      <c r="P34" s="26">
        <v>394.8</v>
      </c>
      <c r="Q34" s="12">
        <v>4.2599999999999999E-2</v>
      </c>
      <c r="R34" s="12">
        <v>185.8</v>
      </c>
      <c r="S34" s="33">
        <v>80</v>
      </c>
      <c r="T34" s="1"/>
      <c r="U34" s="14" t="b">
        <v>1</v>
      </c>
      <c r="V34" s="15">
        <v>5</v>
      </c>
      <c r="W34" s="15">
        <v>7</v>
      </c>
      <c r="X34" s="11" t="s">
        <v>4</v>
      </c>
      <c r="Y34" s="15">
        <v>0.1</v>
      </c>
      <c r="Z34" s="11" t="s">
        <v>5</v>
      </c>
      <c r="AA34" s="15">
        <v>48</v>
      </c>
      <c r="AB34" s="15">
        <v>320.67099999999999</v>
      </c>
      <c r="AC34" s="15">
        <f t="shared" ref="AC34:AC38" si="11">AB34/3600</f>
        <v>8.9075277777777781E-2</v>
      </c>
      <c r="AD34" s="15">
        <v>0.46100000000000002</v>
      </c>
      <c r="AE34" s="15">
        <v>472</v>
      </c>
      <c r="AF34" s="16">
        <v>80.5</v>
      </c>
    </row>
    <row r="35" spans="1:221" ht="15.75" customHeight="1" x14ac:dyDescent="0.15">
      <c r="A35" s="11" t="s">
        <v>30</v>
      </c>
      <c r="B35" s="12">
        <v>76.06</v>
      </c>
      <c r="C35" s="26">
        <v>71.87</v>
      </c>
      <c r="D35" s="12">
        <v>69.5</v>
      </c>
      <c r="E35" s="1"/>
      <c r="F35" s="12" t="b">
        <v>0</v>
      </c>
      <c r="G35" s="28">
        <v>3</v>
      </c>
      <c r="H35" s="12">
        <v>7</v>
      </c>
      <c r="I35" s="12" t="s">
        <v>4</v>
      </c>
      <c r="J35" s="12">
        <v>0</v>
      </c>
      <c r="K35" s="12" t="s">
        <v>5</v>
      </c>
      <c r="L35" s="12">
        <v>64</v>
      </c>
      <c r="M35" s="12">
        <v>37.543999999999997</v>
      </c>
      <c r="N35" s="12">
        <f t="shared" si="10"/>
        <v>1.0428888888888889E-2</v>
      </c>
      <c r="O35" s="12">
        <v>0.52700000000000002</v>
      </c>
      <c r="P35" s="26">
        <v>457.6</v>
      </c>
      <c r="Q35" s="12">
        <v>6.0699999999999997E-2</v>
      </c>
      <c r="R35" s="12">
        <v>190.8</v>
      </c>
      <c r="S35" s="33">
        <v>82.4</v>
      </c>
      <c r="T35" s="1"/>
      <c r="U35" s="14" t="b">
        <v>1</v>
      </c>
      <c r="V35" s="15">
        <v>3</v>
      </c>
      <c r="W35" s="15">
        <v>10</v>
      </c>
      <c r="X35" s="11" t="s">
        <v>4</v>
      </c>
      <c r="Y35" s="15">
        <v>0</v>
      </c>
      <c r="Z35" s="11" t="s">
        <v>7</v>
      </c>
      <c r="AA35" s="15">
        <v>48</v>
      </c>
      <c r="AB35" s="15">
        <v>316.14400000000001</v>
      </c>
      <c r="AC35" s="15">
        <f t="shared" si="11"/>
        <v>8.7817777777777772E-2</v>
      </c>
      <c r="AD35" s="15">
        <v>0.44800000000000001</v>
      </c>
      <c r="AE35" s="15">
        <v>463.6</v>
      </c>
      <c r="AF35" s="16">
        <v>79.8</v>
      </c>
    </row>
    <row r="36" spans="1:221" ht="15.75" customHeight="1" x14ac:dyDescent="0.15">
      <c r="A36" s="11" t="s">
        <v>31</v>
      </c>
      <c r="B36" s="12">
        <v>66.52</v>
      </c>
      <c r="C36" s="26">
        <v>62.96</v>
      </c>
      <c r="D36" s="12">
        <v>61.2</v>
      </c>
      <c r="E36" s="1"/>
      <c r="F36" s="12" t="b">
        <v>0</v>
      </c>
      <c r="G36" s="28">
        <v>3</v>
      </c>
      <c r="H36" s="12">
        <v>10</v>
      </c>
      <c r="I36" s="12" t="s">
        <v>4</v>
      </c>
      <c r="J36" s="12">
        <v>0</v>
      </c>
      <c r="K36" s="12" t="s">
        <v>5</v>
      </c>
      <c r="L36" s="12">
        <v>64</v>
      </c>
      <c r="M36" s="12">
        <v>26.21</v>
      </c>
      <c r="N36" s="12">
        <f t="shared" si="10"/>
        <v>7.2805555555555557E-3</v>
      </c>
      <c r="O36" s="12">
        <v>0.45300000000000001</v>
      </c>
      <c r="P36" s="26">
        <v>393.6</v>
      </c>
      <c r="Q36" s="12">
        <v>0.04</v>
      </c>
      <c r="R36" s="12">
        <v>99.3</v>
      </c>
      <c r="S36" s="33">
        <v>78.900000000000006</v>
      </c>
      <c r="T36" s="1"/>
      <c r="U36" s="14" t="b">
        <v>1</v>
      </c>
      <c r="V36" s="15">
        <v>5</v>
      </c>
      <c r="W36" s="15">
        <v>3</v>
      </c>
      <c r="X36" s="11" t="s">
        <v>4</v>
      </c>
      <c r="Y36" s="15">
        <v>0.1</v>
      </c>
      <c r="Z36" s="11" t="s">
        <v>5</v>
      </c>
      <c r="AA36" s="15">
        <v>48</v>
      </c>
      <c r="AB36" s="15">
        <v>266.72399999999999</v>
      </c>
      <c r="AC36" s="15">
        <f t="shared" si="11"/>
        <v>7.4090000000000003E-2</v>
      </c>
      <c r="AD36" s="15">
        <v>0.44600000000000001</v>
      </c>
      <c r="AE36" s="15">
        <v>413</v>
      </c>
      <c r="AF36" s="16">
        <v>77.099999999999994</v>
      </c>
    </row>
    <row r="37" spans="1:221" ht="15.75" customHeight="1" x14ac:dyDescent="0.15">
      <c r="A37" s="11" t="s">
        <v>32</v>
      </c>
      <c r="B37" s="12">
        <v>58.54</v>
      </c>
      <c r="C37" s="26">
        <v>55.35</v>
      </c>
      <c r="D37" s="12">
        <v>63.2</v>
      </c>
      <c r="E37" s="1"/>
      <c r="F37" s="12" t="b">
        <v>0</v>
      </c>
      <c r="G37" s="28">
        <v>3</v>
      </c>
      <c r="H37" s="12">
        <v>10</v>
      </c>
      <c r="I37" s="12" t="s">
        <v>4</v>
      </c>
      <c r="J37" s="12">
        <v>0</v>
      </c>
      <c r="K37" s="12" t="s">
        <v>5</v>
      </c>
      <c r="L37" s="12">
        <v>64</v>
      </c>
      <c r="M37" s="12">
        <v>36.29</v>
      </c>
      <c r="N37" s="12">
        <f t="shared" si="10"/>
        <v>1.0080555555555556E-2</v>
      </c>
      <c r="O37" s="12">
        <v>0.46700000000000003</v>
      </c>
      <c r="P37" s="26">
        <v>461.9</v>
      </c>
      <c r="Q37" s="12">
        <v>3.6900000000000002E-2</v>
      </c>
      <c r="R37" s="12">
        <v>188.3</v>
      </c>
      <c r="S37" s="33">
        <v>71.2</v>
      </c>
      <c r="T37" s="1"/>
      <c r="U37" s="14" t="b">
        <v>0</v>
      </c>
      <c r="V37" s="15">
        <v>5</v>
      </c>
      <c r="W37" s="15">
        <v>10</v>
      </c>
      <c r="X37" s="11" t="s">
        <v>4</v>
      </c>
      <c r="Y37" s="15">
        <v>0.25</v>
      </c>
      <c r="Z37" s="11" t="s">
        <v>7</v>
      </c>
      <c r="AA37" s="15">
        <v>48</v>
      </c>
      <c r="AB37" s="15">
        <v>304.46600000000001</v>
      </c>
      <c r="AC37" s="15">
        <f t="shared" si="11"/>
        <v>8.4573888888888893E-2</v>
      </c>
      <c r="AD37" s="15">
        <v>0.45400000000000001</v>
      </c>
      <c r="AE37" s="15">
        <v>463</v>
      </c>
      <c r="AF37" s="16">
        <v>69.400000000000006</v>
      </c>
    </row>
    <row r="38" spans="1:221" ht="15.75" customHeight="1" x14ac:dyDescent="0.15">
      <c r="A38" s="11" t="s">
        <v>33</v>
      </c>
      <c r="B38" s="12">
        <v>77.430000000000007</v>
      </c>
      <c r="C38" s="26">
        <v>74.94</v>
      </c>
      <c r="D38" s="12">
        <v>67.599999999999994</v>
      </c>
      <c r="E38" s="1"/>
      <c r="F38" s="12" t="b">
        <v>0</v>
      </c>
      <c r="G38" s="28">
        <v>5</v>
      </c>
      <c r="H38" s="12">
        <v>10</v>
      </c>
      <c r="I38" s="12" t="s">
        <v>4</v>
      </c>
      <c r="J38" s="12">
        <v>0</v>
      </c>
      <c r="K38" s="12" t="s">
        <v>5</v>
      </c>
      <c r="L38" s="12">
        <v>64</v>
      </c>
      <c r="M38" s="12">
        <v>25.94</v>
      </c>
      <c r="N38" s="12">
        <f t="shared" si="10"/>
        <v>7.2055555555555562E-3</v>
      </c>
      <c r="O38" s="12">
        <v>0.46500000000000002</v>
      </c>
      <c r="P38" s="26">
        <v>393.3</v>
      </c>
      <c r="Q38" s="12">
        <v>3.8399999999999997E-2</v>
      </c>
      <c r="R38" s="12">
        <v>128.69999999999999</v>
      </c>
      <c r="S38" s="33">
        <v>86</v>
      </c>
      <c r="T38" s="1"/>
      <c r="U38" s="14" t="b">
        <v>0</v>
      </c>
      <c r="V38" s="15">
        <v>3</v>
      </c>
      <c r="W38" s="15">
        <v>7</v>
      </c>
      <c r="X38" s="11" t="s">
        <v>4</v>
      </c>
      <c r="Y38" s="15">
        <v>0.1</v>
      </c>
      <c r="Z38" s="11" t="s">
        <v>7</v>
      </c>
      <c r="AA38" s="15">
        <v>48</v>
      </c>
      <c r="AB38" s="15">
        <v>265.702</v>
      </c>
      <c r="AC38" s="15">
        <f t="shared" si="11"/>
        <v>7.3806111111111114E-2</v>
      </c>
      <c r="AD38" s="15">
        <v>0.44500000000000001</v>
      </c>
      <c r="AE38" s="15">
        <v>413.2</v>
      </c>
      <c r="AF38" s="16">
        <v>83.6</v>
      </c>
    </row>
    <row r="39" spans="1:221" ht="15.75" customHeight="1" x14ac:dyDescent="0.15">
      <c r="Q39" s="36"/>
      <c r="R39" s="36"/>
      <c r="AF39" s="1"/>
    </row>
    <row r="40" spans="1:221" ht="15.75" customHeight="1" x14ac:dyDescent="0.15">
      <c r="A40" s="31" t="s">
        <v>35</v>
      </c>
      <c r="B40" s="12">
        <f t="shared" ref="B40:D40" si="12">AVERAGE(B4:B38)</f>
        <v>66.787142857142854</v>
      </c>
      <c r="C40" s="12">
        <f t="shared" si="12"/>
        <v>67.774642857142837</v>
      </c>
      <c r="D40" s="12">
        <f t="shared" si="12"/>
        <v>68.897857142857134</v>
      </c>
      <c r="E40" s="1"/>
      <c r="F40" s="1"/>
      <c r="G40" s="1"/>
      <c r="H40" s="1"/>
      <c r="I40" s="1"/>
      <c r="J40" s="1"/>
      <c r="K40" s="1"/>
      <c r="L40" s="1"/>
      <c r="M40" s="12" t="s">
        <v>34</v>
      </c>
      <c r="N40" s="12">
        <f>SUM(N4:N38)</f>
        <v>1.1031230555555553</v>
      </c>
      <c r="O40" s="1"/>
      <c r="P40" s="26" t="s">
        <v>35</v>
      </c>
      <c r="Q40" s="12">
        <f t="shared" ref="Q40:R40" si="13">AVERAGE(Q4:Q38)</f>
        <v>4.1321428571428571E-2</v>
      </c>
      <c r="R40" s="12">
        <f t="shared" si="13"/>
        <v>303.19642857142861</v>
      </c>
      <c r="S40" s="33">
        <f>AVERAGE(S4:S38)</f>
        <v>80.372499999999974</v>
      </c>
      <c r="T40" s="1"/>
      <c r="AB40" s="12" t="s">
        <v>34</v>
      </c>
      <c r="AC40" s="12">
        <f>SUM(AC4:AC38)</f>
        <v>14.854315000000001</v>
      </c>
      <c r="AE40" s="12" t="s">
        <v>35</v>
      </c>
      <c r="AF40" s="13">
        <f>AVERAGE(AF4:AF38)</f>
        <v>79.849285714285699</v>
      </c>
    </row>
    <row r="41" spans="1:221" ht="15.75" customHeight="1" x14ac:dyDescent="0.15">
      <c r="AG41" s="1"/>
    </row>
    <row r="42" spans="1:221" ht="15.75" customHeight="1" x14ac:dyDescent="0.15">
      <c r="AG42" s="1"/>
    </row>
    <row r="43" spans="1:221" ht="15.75" customHeight="1" x14ac:dyDescent="0.15">
      <c r="AG43" s="1"/>
    </row>
    <row r="44" spans="1:221" ht="15.75" customHeight="1" x14ac:dyDescent="0.15">
      <c r="AG44" s="1"/>
    </row>
    <row r="45" spans="1:221" ht="15.75" customHeight="1" x14ac:dyDescent="0.15">
      <c r="AG45" s="1"/>
    </row>
    <row r="46" spans="1:221" ht="15.75" customHeight="1" x14ac:dyDescent="0.15">
      <c r="AG46" s="1"/>
    </row>
    <row r="47" spans="1:221" ht="15.75" customHeight="1" x14ac:dyDescent="0.15">
      <c r="AG47" s="1"/>
    </row>
    <row r="48" spans="1:221" ht="15.75" customHeight="1" x14ac:dyDescent="0.15">
      <c r="AG48" s="1"/>
    </row>
    <row r="49" spans="33:33" ht="15.75" customHeight="1" x14ac:dyDescent="0.15">
      <c r="AG49" s="1"/>
    </row>
    <row r="50" spans="33:33" ht="15.75" customHeight="1" x14ac:dyDescent="0.15">
      <c r="AG50" s="1"/>
    </row>
    <row r="51" spans="33:33" ht="15.75" customHeight="1" x14ac:dyDescent="0.15">
      <c r="AG51" s="1"/>
    </row>
    <row r="52" spans="33:33" ht="15.75" customHeight="1" x14ac:dyDescent="0.15">
      <c r="AG52" s="1"/>
    </row>
    <row r="53" spans="33:33" ht="15.75" customHeight="1" x14ac:dyDescent="0.15">
      <c r="AG53" s="1"/>
    </row>
    <row r="54" spans="33:33" ht="15.75" customHeight="1" x14ac:dyDescent="0.15">
      <c r="AG54" s="1"/>
    </row>
    <row r="55" spans="33:33" ht="13" x14ac:dyDescent="0.15">
      <c r="AG55" s="1"/>
    </row>
    <row r="56" spans="33:33" ht="13" x14ac:dyDescent="0.15">
      <c r="AG56" s="1"/>
    </row>
    <row r="57" spans="33:33" ht="13" x14ac:dyDescent="0.15">
      <c r="AG57" s="1"/>
    </row>
    <row r="58" spans="33:33" ht="13" x14ac:dyDescent="0.15">
      <c r="AG58" s="1"/>
    </row>
    <row r="59" spans="33:33" ht="13" x14ac:dyDescent="0.15">
      <c r="AG59" s="1"/>
    </row>
    <row r="60" spans="33:33" ht="13" x14ac:dyDescent="0.15">
      <c r="AG60" s="1"/>
    </row>
    <row r="61" spans="33:33" ht="13" x14ac:dyDescent="0.15">
      <c r="AG61" s="1"/>
    </row>
    <row r="62" spans="33:33" ht="13" x14ac:dyDescent="0.15">
      <c r="AG62" s="1"/>
    </row>
    <row r="63" spans="33:33" ht="13" x14ac:dyDescent="0.15">
      <c r="AG63" s="1"/>
    </row>
    <row r="64" spans="33:33" ht="13" x14ac:dyDescent="0.15">
      <c r="AG64" s="1"/>
    </row>
    <row r="65" spans="33:33" ht="13" x14ac:dyDescent="0.15">
      <c r="AG65" s="1"/>
    </row>
    <row r="66" spans="33:33" ht="13" x14ac:dyDescent="0.15">
      <c r="AG66" s="1"/>
    </row>
    <row r="67" spans="33:33" ht="13" x14ac:dyDescent="0.15">
      <c r="AG67" s="1"/>
    </row>
    <row r="68" spans="33:33" ht="13" x14ac:dyDescent="0.15">
      <c r="AG68" s="1"/>
    </row>
    <row r="69" spans="33:33" ht="13" x14ac:dyDescent="0.15">
      <c r="AG69" s="1"/>
    </row>
    <row r="70" spans="33:33" ht="13" x14ac:dyDescent="0.15">
      <c r="AG70" s="1"/>
    </row>
    <row r="71" spans="33:33" ht="13" x14ac:dyDescent="0.15">
      <c r="AG71" s="1"/>
    </row>
    <row r="72" spans="33:33" ht="13" x14ac:dyDescent="0.15">
      <c r="AG72" s="1"/>
    </row>
    <row r="73" spans="33:33" ht="13" x14ac:dyDescent="0.15">
      <c r="AG73" s="1"/>
    </row>
    <row r="74" spans="33:33" ht="13" x14ac:dyDescent="0.15">
      <c r="AG74" s="1"/>
    </row>
    <row r="75" spans="33:33" ht="13" x14ac:dyDescent="0.15">
      <c r="AG75" s="1"/>
    </row>
    <row r="76" spans="33:33" ht="13" x14ac:dyDescent="0.15">
      <c r="AG76" s="1"/>
    </row>
    <row r="77" spans="33:33" ht="13" x14ac:dyDescent="0.15">
      <c r="AG77" s="1"/>
    </row>
    <row r="78" spans="33:33" ht="13" x14ac:dyDescent="0.15">
      <c r="AG78" s="1"/>
    </row>
    <row r="79" spans="33:33" ht="13" x14ac:dyDescent="0.15">
      <c r="AG79" s="1"/>
    </row>
    <row r="80" spans="33:33" ht="13" x14ac:dyDescent="0.15">
      <c r="AG80" s="1"/>
    </row>
    <row r="81" spans="33:33" ht="13" x14ac:dyDescent="0.15">
      <c r="AG81" s="1"/>
    </row>
    <row r="82" spans="33:33" ht="13" x14ac:dyDescent="0.15">
      <c r="AG82" s="1"/>
    </row>
    <row r="83" spans="33:33" ht="13" x14ac:dyDescent="0.15">
      <c r="AG83" s="1"/>
    </row>
    <row r="84" spans="33:33" ht="13" x14ac:dyDescent="0.15">
      <c r="AG84" s="1"/>
    </row>
    <row r="85" spans="33:33" ht="13" x14ac:dyDescent="0.15">
      <c r="AG85" s="1"/>
    </row>
    <row r="86" spans="33:33" ht="13" x14ac:dyDescent="0.15">
      <c r="AG86" s="1"/>
    </row>
    <row r="87" spans="33:33" ht="13" x14ac:dyDescent="0.15">
      <c r="AG87" s="1"/>
    </row>
    <row r="88" spans="33:33" ht="13" x14ac:dyDescent="0.15">
      <c r="AG88" s="1"/>
    </row>
    <row r="89" spans="33:33" ht="13" x14ac:dyDescent="0.15">
      <c r="AG89" s="1"/>
    </row>
    <row r="90" spans="33:33" ht="13" x14ac:dyDescent="0.15">
      <c r="AG90" s="1"/>
    </row>
    <row r="91" spans="33:33" ht="13" x14ac:dyDescent="0.15">
      <c r="AG91" s="1"/>
    </row>
    <row r="92" spans="33:33" ht="13" x14ac:dyDescent="0.15">
      <c r="AG92" s="1"/>
    </row>
    <row r="93" spans="33:33" ht="13" x14ac:dyDescent="0.15">
      <c r="AG93" s="1"/>
    </row>
    <row r="94" spans="33:33" ht="13" x14ac:dyDescent="0.15">
      <c r="AG94" s="1"/>
    </row>
    <row r="95" spans="33:33" ht="13" x14ac:dyDescent="0.15">
      <c r="AG95" s="1"/>
    </row>
    <row r="96" spans="33:33" ht="13" x14ac:dyDescent="0.15">
      <c r="AG96" s="1"/>
    </row>
    <row r="97" spans="33:33" ht="13" x14ac:dyDescent="0.15">
      <c r="AG97" s="1"/>
    </row>
    <row r="98" spans="33:33" ht="13" x14ac:dyDescent="0.15">
      <c r="AG98" s="1"/>
    </row>
    <row r="99" spans="33:33" ht="13" x14ac:dyDescent="0.15">
      <c r="AG99" s="1"/>
    </row>
    <row r="100" spans="33:33" ht="13" x14ac:dyDescent="0.15">
      <c r="AG100" s="1"/>
    </row>
    <row r="101" spans="33:33" ht="13" x14ac:dyDescent="0.15">
      <c r="AG101" s="1"/>
    </row>
    <row r="102" spans="33:33" ht="13" x14ac:dyDescent="0.15">
      <c r="AG102" s="1"/>
    </row>
    <row r="103" spans="33:33" ht="13" x14ac:dyDescent="0.15">
      <c r="AG103" s="1"/>
    </row>
    <row r="104" spans="33:33" ht="13" x14ac:dyDescent="0.15">
      <c r="AG104" s="1"/>
    </row>
    <row r="105" spans="33:33" ht="13" x14ac:dyDescent="0.15">
      <c r="AG105" s="1"/>
    </row>
    <row r="106" spans="33:33" ht="13" x14ac:dyDescent="0.15">
      <c r="AG106" s="1"/>
    </row>
    <row r="107" spans="33:33" ht="13" x14ac:dyDescent="0.15">
      <c r="AG107" s="1"/>
    </row>
    <row r="108" spans="33:33" ht="13" x14ac:dyDescent="0.15">
      <c r="AG108" s="1"/>
    </row>
    <row r="109" spans="33:33" ht="13" x14ac:dyDescent="0.15">
      <c r="AG109" s="1"/>
    </row>
    <row r="110" spans="33:33" ht="13" x14ac:dyDescent="0.15">
      <c r="AG110" s="1"/>
    </row>
    <row r="111" spans="33:33" ht="13" x14ac:dyDescent="0.15">
      <c r="AG111" s="1"/>
    </row>
    <row r="112" spans="33:33" ht="13" x14ac:dyDescent="0.15">
      <c r="AG112" s="1"/>
    </row>
    <row r="113" spans="33:33" ht="13" x14ac:dyDescent="0.15">
      <c r="AG113" s="1"/>
    </row>
    <row r="114" spans="33:33" ht="13" x14ac:dyDescent="0.15">
      <c r="AG114" s="1"/>
    </row>
    <row r="115" spans="33:33" ht="13" x14ac:dyDescent="0.15">
      <c r="AG115" s="1"/>
    </row>
    <row r="116" spans="33:33" ht="13" x14ac:dyDescent="0.15">
      <c r="AG116" s="1"/>
    </row>
    <row r="117" spans="33:33" ht="13" x14ac:dyDescent="0.15">
      <c r="AG117" s="1"/>
    </row>
    <row r="118" spans="33:33" ht="13" x14ac:dyDescent="0.15">
      <c r="AG118" s="1"/>
    </row>
    <row r="119" spans="33:33" ht="13" x14ac:dyDescent="0.15">
      <c r="AG119" s="1"/>
    </row>
    <row r="120" spans="33:33" ht="13" x14ac:dyDescent="0.15">
      <c r="AG120" s="1"/>
    </row>
    <row r="121" spans="33:33" ht="13" x14ac:dyDescent="0.15">
      <c r="AG121" s="1"/>
    </row>
    <row r="122" spans="33:33" ht="13" x14ac:dyDescent="0.15">
      <c r="AG122" s="1"/>
    </row>
    <row r="123" spans="33:33" ht="13" x14ac:dyDescent="0.15">
      <c r="AG123" s="1"/>
    </row>
    <row r="124" spans="33:33" ht="13" x14ac:dyDescent="0.15">
      <c r="AG124" s="1"/>
    </row>
    <row r="125" spans="33:33" ht="13" x14ac:dyDescent="0.15">
      <c r="AG125" s="1"/>
    </row>
    <row r="126" spans="33:33" ht="13" x14ac:dyDescent="0.15">
      <c r="AG126" s="1"/>
    </row>
    <row r="127" spans="33:33" ht="13" x14ac:dyDescent="0.15">
      <c r="AG127" s="1"/>
    </row>
    <row r="128" spans="33:33" ht="13" x14ac:dyDescent="0.15">
      <c r="AG128" s="1"/>
    </row>
    <row r="129" spans="33:33" ht="13" x14ac:dyDescent="0.15">
      <c r="AG129" s="1"/>
    </row>
    <row r="130" spans="33:33" ht="13" x14ac:dyDescent="0.15">
      <c r="AG130" s="1"/>
    </row>
    <row r="131" spans="33:33" ht="13" x14ac:dyDescent="0.15">
      <c r="AG131" s="1"/>
    </row>
    <row r="132" spans="33:33" ht="13" x14ac:dyDescent="0.15">
      <c r="AG132" s="1"/>
    </row>
    <row r="133" spans="33:33" ht="13" x14ac:dyDescent="0.15">
      <c r="AG133" s="1"/>
    </row>
    <row r="134" spans="33:33" ht="13" x14ac:dyDescent="0.15">
      <c r="AG134" s="1"/>
    </row>
    <row r="135" spans="33:33" ht="13" x14ac:dyDescent="0.15">
      <c r="AG135" s="1"/>
    </row>
    <row r="136" spans="33:33" ht="13" x14ac:dyDescent="0.15">
      <c r="AG136" s="1"/>
    </row>
    <row r="137" spans="33:33" ht="13" x14ac:dyDescent="0.15">
      <c r="AG137" s="1"/>
    </row>
    <row r="138" spans="33:33" ht="13" x14ac:dyDescent="0.15">
      <c r="AG138" s="1"/>
    </row>
    <row r="139" spans="33:33" ht="13" x14ac:dyDescent="0.15">
      <c r="AG139" s="1"/>
    </row>
    <row r="140" spans="33:33" ht="13" x14ac:dyDescent="0.15">
      <c r="AG140" s="1"/>
    </row>
    <row r="141" spans="33:33" ht="13" x14ac:dyDescent="0.15">
      <c r="AG141" s="1"/>
    </row>
    <row r="142" spans="33:33" ht="13" x14ac:dyDescent="0.15">
      <c r="AG142" s="1"/>
    </row>
    <row r="143" spans="33:33" ht="13" x14ac:dyDescent="0.15">
      <c r="AG143" s="1"/>
    </row>
    <row r="144" spans="33:33" ht="13" x14ac:dyDescent="0.15">
      <c r="AG144" s="1"/>
    </row>
    <row r="145" spans="33:33" ht="13" x14ac:dyDescent="0.15">
      <c r="AG145" s="1"/>
    </row>
    <row r="146" spans="33:33" ht="13" x14ac:dyDescent="0.15">
      <c r="AG146" s="1"/>
    </row>
    <row r="147" spans="33:33" ht="13" x14ac:dyDescent="0.15">
      <c r="AG147" s="1"/>
    </row>
    <row r="148" spans="33:33" ht="13" x14ac:dyDescent="0.15">
      <c r="AG148" s="1"/>
    </row>
    <row r="149" spans="33:33" ht="13" x14ac:dyDescent="0.15">
      <c r="AG149" s="1"/>
    </row>
    <row r="150" spans="33:33" ht="13" x14ac:dyDescent="0.15">
      <c r="AG150" s="1"/>
    </row>
    <row r="151" spans="33:33" ht="13" x14ac:dyDescent="0.15">
      <c r="AG151" s="1"/>
    </row>
    <row r="152" spans="33:33" ht="13" x14ac:dyDescent="0.15">
      <c r="AG152" s="1"/>
    </row>
    <row r="153" spans="33:33" ht="13" x14ac:dyDescent="0.15">
      <c r="AG153" s="1"/>
    </row>
    <row r="154" spans="33:33" ht="13" x14ac:dyDescent="0.15">
      <c r="AG154" s="1"/>
    </row>
    <row r="155" spans="33:33" ht="13" x14ac:dyDescent="0.15">
      <c r="AG155" s="1"/>
    </row>
    <row r="156" spans="33:33" ht="13" x14ac:dyDescent="0.15">
      <c r="AG156" s="1"/>
    </row>
    <row r="157" spans="33:33" ht="13" x14ac:dyDescent="0.15">
      <c r="AG157" s="1"/>
    </row>
    <row r="158" spans="33:33" ht="13" x14ac:dyDescent="0.15">
      <c r="AG158" s="1"/>
    </row>
    <row r="159" spans="33:33" ht="13" x14ac:dyDescent="0.15">
      <c r="AG159" s="1"/>
    </row>
    <row r="160" spans="33:33" ht="13" x14ac:dyDescent="0.15">
      <c r="AG160" s="1"/>
    </row>
    <row r="161" spans="33:33" ht="13" x14ac:dyDescent="0.15">
      <c r="AG161" s="1"/>
    </row>
    <row r="162" spans="33:33" ht="13" x14ac:dyDescent="0.15">
      <c r="AG162" s="1"/>
    </row>
    <row r="163" spans="33:33" ht="13" x14ac:dyDescent="0.15">
      <c r="AG163" s="1"/>
    </row>
    <row r="164" spans="33:33" ht="13" x14ac:dyDescent="0.15">
      <c r="AG164" s="1"/>
    </row>
    <row r="165" spans="33:33" ht="13" x14ac:dyDescent="0.15">
      <c r="AG165" s="1"/>
    </row>
    <row r="166" spans="33:33" ht="13" x14ac:dyDescent="0.15">
      <c r="AG166" s="1"/>
    </row>
    <row r="167" spans="33:33" ht="13" x14ac:dyDescent="0.15">
      <c r="AG167" s="1"/>
    </row>
    <row r="168" spans="33:33" ht="13" x14ac:dyDescent="0.15">
      <c r="AG168" s="1"/>
    </row>
    <row r="169" spans="33:33" ht="13" x14ac:dyDescent="0.15">
      <c r="AG169" s="1"/>
    </row>
    <row r="170" spans="33:33" ht="13" x14ac:dyDescent="0.15">
      <c r="AG170" s="1"/>
    </row>
    <row r="171" spans="33:33" ht="13" x14ac:dyDescent="0.15">
      <c r="AG171" s="1"/>
    </row>
    <row r="172" spans="33:33" ht="13" x14ac:dyDescent="0.15">
      <c r="AG172" s="1"/>
    </row>
    <row r="173" spans="33:33" ht="13" x14ac:dyDescent="0.15">
      <c r="AG173" s="1"/>
    </row>
    <row r="174" spans="33:33" ht="13" x14ac:dyDescent="0.15">
      <c r="AG174" s="1"/>
    </row>
    <row r="175" spans="33:33" ht="13" x14ac:dyDescent="0.15">
      <c r="AG175" s="1"/>
    </row>
    <row r="176" spans="33:33" ht="13" x14ac:dyDescent="0.15">
      <c r="AG176" s="1"/>
    </row>
    <row r="177" spans="33:33" ht="13" x14ac:dyDescent="0.15">
      <c r="AG177" s="1"/>
    </row>
    <row r="178" spans="33:33" ht="13" x14ac:dyDescent="0.15">
      <c r="AG178" s="1"/>
    </row>
    <row r="179" spans="33:33" ht="13" x14ac:dyDescent="0.15">
      <c r="AG179" s="1"/>
    </row>
    <row r="180" spans="33:33" ht="13" x14ac:dyDescent="0.15">
      <c r="AG180" s="1"/>
    </row>
    <row r="181" spans="33:33" ht="13" x14ac:dyDescent="0.15">
      <c r="AG181" s="1"/>
    </row>
    <row r="182" spans="33:33" ht="13" x14ac:dyDescent="0.15">
      <c r="AG182" s="1"/>
    </row>
    <row r="183" spans="33:33" ht="13" x14ac:dyDescent="0.15">
      <c r="AG183" s="1"/>
    </row>
    <row r="184" spans="33:33" ht="13" x14ac:dyDescent="0.15">
      <c r="AG184" s="1"/>
    </row>
    <row r="185" spans="33:33" ht="13" x14ac:dyDescent="0.15">
      <c r="AG185" s="1"/>
    </row>
    <row r="186" spans="33:33" ht="13" x14ac:dyDescent="0.15">
      <c r="AG186" s="1"/>
    </row>
    <row r="187" spans="33:33" ht="13" x14ac:dyDescent="0.15">
      <c r="AG187" s="1"/>
    </row>
    <row r="188" spans="33:33" ht="13" x14ac:dyDescent="0.15">
      <c r="AG188" s="1"/>
    </row>
    <row r="189" spans="33:33" ht="13" x14ac:dyDescent="0.15">
      <c r="AG189" s="1"/>
    </row>
    <row r="190" spans="33:33" ht="13" x14ac:dyDescent="0.15">
      <c r="AG190" s="1"/>
    </row>
    <row r="191" spans="33:33" ht="13" x14ac:dyDescent="0.15">
      <c r="AG191" s="1"/>
    </row>
    <row r="192" spans="33:33" ht="13" x14ac:dyDescent="0.15">
      <c r="AG192" s="1"/>
    </row>
    <row r="193" spans="33:33" ht="13" x14ac:dyDescent="0.15">
      <c r="AG193" s="1"/>
    </row>
    <row r="194" spans="33:33" ht="13" x14ac:dyDescent="0.15">
      <c r="AG194" s="1"/>
    </row>
    <row r="195" spans="33:33" ht="13" x14ac:dyDescent="0.15">
      <c r="AG195" s="1"/>
    </row>
    <row r="196" spans="33:33" ht="13" x14ac:dyDescent="0.15">
      <c r="AG196" s="1"/>
    </row>
    <row r="197" spans="33:33" ht="13" x14ac:dyDescent="0.15">
      <c r="AG197" s="1"/>
    </row>
    <row r="198" spans="33:33" ht="13" x14ac:dyDescent="0.15">
      <c r="AG198" s="1"/>
    </row>
    <row r="199" spans="33:33" ht="13" x14ac:dyDescent="0.15">
      <c r="AG199" s="1"/>
    </row>
    <row r="200" spans="33:33" ht="13" x14ac:dyDescent="0.15">
      <c r="AG200" s="1"/>
    </row>
    <row r="201" spans="33:33" ht="13" x14ac:dyDescent="0.15">
      <c r="AG201" s="1"/>
    </row>
    <row r="202" spans="33:33" ht="13" x14ac:dyDescent="0.15">
      <c r="AG202" s="1"/>
    </row>
    <row r="203" spans="33:33" ht="13" x14ac:dyDescent="0.15">
      <c r="AG203" s="1"/>
    </row>
    <row r="204" spans="33:33" ht="13" x14ac:dyDescent="0.15">
      <c r="AG204" s="1"/>
    </row>
    <row r="205" spans="33:33" ht="13" x14ac:dyDescent="0.15">
      <c r="AG205" s="1"/>
    </row>
    <row r="206" spans="33:33" ht="13" x14ac:dyDescent="0.15">
      <c r="AG206" s="1"/>
    </row>
    <row r="207" spans="33:33" ht="13" x14ac:dyDescent="0.15">
      <c r="AG207" s="1"/>
    </row>
    <row r="208" spans="33:33" ht="13" x14ac:dyDescent="0.15">
      <c r="AG208" s="1"/>
    </row>
    <row r="209" spans="33:33" ht="13" x14ac:dyDescent="0.15">
      <c r="AG209" s="1"/>
    </row>
    <row r="210" spans="33:33" ht="13" x14ac:dyDescent="0.15">
      <c r="AG210" s="1"/>
    </row>
    <row r="211" spans="33:33" ht="13" x14ac:dyDescent="0.15">
      <c r="AG211" s="1"/>
    </row>
    <row r="212" spans="33:33" ht="13" x14ac:dyDescent="0.15">
      <c r="AG212" s="1"/>
    </row>
    <row r="213" spans="33:33" ht="13" x14ac:dyDescent="0.15">
      <c r="AG213" s="1"/>
    </row>
    <row r="214" spans="33:33" ht="13" x14ac:dyDescent="0.15">
      <c r="AG214" s="1"/>
    </row>
    <row r="215" spans="33:33" ht="13" x14ac:dyDescent="0.15">
      <c r="AG215" s="1"/>
    </row>
    <row r="216" spans="33:33" ht="13" x14ac:dyDescent="0.15">
      <c r="AG216" s="1"/>
    </row>
    <row r="217" spans="33:33" ht="13" x14ac:dyDescent="0.15">
      <c r="AG217" s="1"/>
    </row>
    <row r="218" spans="33:33" ht="13" x14ac:dyDescent="0.15">
      <c r="AG218" s="1"/>
    </row>
    <row r="219" spans="33:33" ht="13" x14ac:dyDescent="0.15">
      <c r="AG219" s="1"/>
    </row>
    <row r="220" spans="33:33" ht="13" x14ac:dyDescent="0.15">
      <c r="AG220" s="1"/>
    </row>
    <row r="221" spans="33:33" ht="13" x14ac:dyDescent="0.15">
      <c r="AG221" s="1"/>
    </row>
    <row r="222" spans="33:33" ht="13" x14ac:dyDescent="0.15">
      <c r="AG222" s="1"/>
    </row>
    <row r="223" spans="33:33" ht="13" x14ac:dyDescent="0.15">
      <c r="AG223" s="1"/>
    </row>
    <row r="224" spans="33:33" ht="13" x14ac:dyDescent="0.15">
      <c r="AG224" s="1"/>
    </row>
    <row r="225" spans="33:33" ht="13" x14ac:dyDescent="0.15">
      <c r="AG225" s="1"/>
    </row>
    <row r="226" spans="33:33" ht="13" x14ac:dyDescent="0.15">
      <c r="AG226" s="1"/>
    </row>
    <row r="227" spans="33:33" ht="13" x14ac:dyDescent="0.15">
      <c r="AG227" s="1"/>
    </row>
    <row r="228" spans="33:33" ht="13" x14ac:dyDescent="0.15">
      <c r="AG228" s="1"/>
    </row>
    <row r="229" spans="33:33" ht="13" x14ac:dyDescent="0.15">
      <c r="AG229" s="1"/>
    </row>
    <row r="230" spans="33:33" ht="13" x14ac:dyDescent="0.15">
      <c r="AG230" s="1"/>
    </row>
    <row r="231" spans="33:33" ht="13" x14ac:dyDescent="0.15">
      <c r="AG231" s="1"/>
    </row>
    <row r="232" spans="33:33" ht="13" x14ac:dyDescent="0.15">
      <c r="AG232" s="1"/>
    </row>
    <row r="233" spans="33:33" ht="13" x14ac:dyDescent="0.15">
      <c r="AG233" s="1"/>
    </row>
    <row r="234" spans="33:33" ht="13" x14ac:dyDescent="0.15">
      <c r="AG234" s="1"/>
    </row>
    <row r="235" spans="33:33" ht="13" x14ac:dyDescent="0.15">
      <c r="AG235" s="1"/>
    </row>
    <row r="236" spans="33:33" ht="13" x14ac:dyDescent="0.15">
      <c r="AG236" s="1"/>
    </row>
    <row r="237" spans="33:33" ht="13" x14ac:dyDescent="0.15">
      <c r="AG237" s="1"/>
    </row>
    <row r="238" spans="33:33" ht="13" x14ac:dyDescent="0.15">
      <c r="AG238" s="1"/>
    </row>
    <row r="239" spans="33:33" ht="13" x14ac:dyDescent="0.15">
      <c r="AG239" s="1"/>
    </row>
    <row r="240" spans="33:33" ht="13" x14ac:dyDescent="0.15">
      <c r="AG240" s="1"/>
    </row>
    <row r="241" spans="33:33" ht="13" x14ac:dyDescent="0.15">
      <c r="AG241" s="1"/>
    </row>
    <row r="242" spans="33:33" ht="13" x14ac:dyDescent="0.15">
      <c r="AG242" s="1"/>
    </row>
    <row r="243" spans="33:33" ht="13" x14ac:dyDescent="0.15">
      <c r="AG243" s="1"/>
    </row>
    <row r="244" spans="33:33" ht="13" x14ac:dyDescent="0.15">
      <c r="AG244" s="1"/>
    </row>
    <row r="245" spans="33:33" ht="13" x14ac:dyDescent="0.15">
      <c r="AG245" s="1"/>
    </row>
    <row r="246" spans="33:33" ht="13" x14ac:dyDescent="0.15">
      <c r="AG246" s="1"/>
    </row>
    <row r="247" spans="33:33" ht="13" x14ac:dyDescent="0.15">
      <c r="AG247" s="1"/>
    </row>
    <row r="248" spans="33:33" ht="13" x14ac:dyDescent="0.15">
      <c r="AG248" s="1"/>
    </row>
    <row r="249" spans="33:33" ht="13" x14ac:dyDescent="0.15">
      <c r="AG249" s="1"/>
    </row>
    <row r="250" spans="33:33" ht="13" x14ac:dyDescent="0.15">
      <c r="AG250" s="1"/>
    </row>
    <row r="251" spans="33:33" ht="13" x14ac:dyDescent="0.15">
      <c r="AG251" s="1"/>
    </row>
    <row r="252" spans="33:33" ht="13" x14ac:dyDescent="0.15">
      <c r="AG252" s="1"/>
    </row>
    <row r="253" spans="33:33" ht="13" x14ac:dyDescent="0.15">
      <c r="AG253" s="1"/>
    </row>
    <row r="254" spans="33:33" ht="13" x14ac:dyDescent="0.15">
      <c r="AG254" s="1"/>
    </row>
    <row r="255" spans="33:33" ht="13" x14ac:dyDescent="0.15">
      <c r="AG255" s="1"/>
    </row>
    <row r="256" spans="33:33" ht="13" x14ac:dyDescent="0.15">
      <c r="AG256" s="1"/>
    </row>
    <row r="257" spans="33:33" ht="13" x14ac:dyDescent="0.15">
      <c r="AG257" s="1"/>
    </row>
    <row r="258" spans="33:33" ht="13" x14ac:dyDescent="0.15">
      <c r="AG258" s="1"/>
    </row>
    <row r="259" spans="33:33" ht="13" x14ac:dyDescent="0.15">
      <c r="AG259" s="1"/>
    </row>
    <row r="260" spans="33:33" ht="13" x14ac:dyDescent="0.15">
      <c r="AG260" s="1"/>
    </row>
    <row r="261" spans="33:33" ht="13" x14ac:dyDescent="0.15">
      <c r="AG261" s="1"/>
    </row>
    <row r="262" spans="33:33" ht="13" x14ac:dyDescent="0.15">
      <c r="AG262" s="1"/>
    </row>
    <row r="263" spans="33:33" ht="13" x14ac:dyDescent="0.15">
      <c r="AG263" s="1"/>
    </row>
    <row r="264" spans="33:33" ht="13" x14ac:dyDescent="0.15">
      <c r="AG264" s="1"/>
    </row>
    <row r="265" spans="33:33" ht="13" x14ac:dyDescent="0.15">
      <c r="AG265" s="1"/>
    </row>
    <row r="266" spans="33:33" ht="13" x14ac:dyDescent="0.15">
      <c r="AG266" s="1"/>
    </row>
    <row r="267" spans="33:33" ht="13" x14ac:dyDescent="0.15">
      <c r="AG267" s="1"/>
    </row>
    <row r="268" spans="33:33" ht="13" x14ac:dyDescent="0.15">
      <c r="AG268" s="1"/>
    </row>
    <row r="269" spans="33:33" ht="13" x14ac:dyDescent="0.15">
      <c r="AG269" s="1"/>
    </row>
    <row r="270" spans="33:33" ht="13" x14ac:dyDescent="0.15">
      <c r="AG270" s="1"/>
    </row>
    <row r="271" spans="33:33" ht="13" x14ac:dyDescent="0.15">
      <c r="AG271" s="1"/>
    </row>
    <row r="272" spans="33:33" ht="13" x14ac:dyDescent="0.15">
      <c r="AG272" s="1"/>
    </row>
    <row r="273" spans="33:33" ht="13" x14ac:dyDescent="0.15">
      <c r="AG273" s="1"/>
    </row>
    <row r="274" spans="33:33" ht="13" x14ac:dyDescent="0.15">
      <c r="AG274" s="1"/>
    </row>
    <row r="275" spans="33:33" ht="13" x14ac:dyDescent="0.15">
      <c r="AG275" s="1"/>
    </row>
    <row r="276" spans="33:33" ht="13" x14ac:dyDescent="0.15">
      <c r="AG276" s="1"/>
    </row>
    <row r="277" spans="33:33" ht="13" x14ac:dyDescent="0.15">
      <c r="AG277" s="1"/>
    </row>
    <row r="278" spans="33:33" ht="13" x14ac:dyDescent="0.15">
      <c r="AG278" s="1"/>
    </row>
    <row r="279" spans="33:33" ht="13" x14ac:dyDescent="0.15">
      <c r="AG279" s="1"/>
    </row>
    <row r="280" spans="33:33" ht="13" x14ac:dyDescent="0.15">
      <c r="AG280" s="1"/>
    </row>
    <row r="281" spans="33:33" ht="13" x14ac:dyDescent="0.15">
      <c r="AG281" s="1"/>
    </row>
    <row r="282" spans="33:33" ht="13" x14ac:dyDescent="0.15">
      <c r="AG282" s="1"/>
    </row>
    <row r="283" spans="33:33" ht="13" x14ac:dyDescent="0.15">
      <c r="AG283" s="1"/>
    </row>
    <row r="284" spans="33:33" ht="13" x14ac:dyDescent="0.15">
      <c r="AG284" s="1"/>
    </row>
    <row r="285" spans="33:33" ht="13" x14ac:dyDescent="0.15">
      <c r="AG285" s="1"/>
    </row>
    <row r="286" spans="33:33" ht="13" x14ac:dyDescent="0.15">
      <c r="AG286" s="1"/>
    </row>
    <row r="287" spans="33:33" ht="13" x14ac:dyDescent="0.15">
      <c r="AG287" s="1"/>
    </row>
    <row r="288" spans="33:33" ht="13" x14ac:dyDescent="0.15">
      <c r="AG288" s="1"/>
    </row>
    <row r="289" spans="33:33" ht="13" x14ac:dyDescent="0.15">
      <c r="AG289" s="1"/>
    </row>
    <row r="290" spans="33:33" ht="13" x14ac:dyDescent="0.15">
      <c r="AG290" s="1"/>
    </row>
    <row r="291" spans="33:33" ht="13" x14ac:dyDescent="0.15">
      <c r="AG291" s="1"/>
    </row>
    <row r="292" spans="33:33" ht="13" x14ac:dyDescent="0.15">
      <c r="AG292" s="1"/>
    </row>
    <row r="293" spans="33:33" ht="13" x14ac:dyDescent="0.15">
      <c r="AG293" s="1"/>
    </row>
    <row r="294" spans="33:33" ht="13" x14ac:dyDescent="0.15">
      <c r="AG294" s="1"/>
    </row>
    <row r="295" spans="33:33" ht="13" x14ac:dyDescent="0.15">
      <c r="AG295" s="1"/>
    </row>
    <row r="296" spans="33:33" ht="13" x14ac:dyDescent="0.15">
      <c r="AG296" s="1"/>
    </row>
    <row r="297" spans="33:33" ht="13" x14ac:dyDescent="0.15">
      <c r="AG297" s="1"/>
    </row>
    <row r="298" spans="33:33" ht="13" x14ac:dyDescent="0.15">
      <c r="AG298" s="1"/>
    </row>
    <row r="299" spans="33:33" ht="13" x14ac:dyDescent="0.15">
      <c r="AG299" s="1"/>
    </row>
    <row r="300" spans="33:33" ht="13" x14ac:dyDescent="0.15">
      <c r="AG300" s="1"/>
    </row>
    <row r="301" spans="33:33" ht="13" x14ac:dyDescent="0.15">
      <c r="AG301" s="1"/>
    </row>
    <row r="302" spans="33:33" ht="13" x14ac:dyDescent="0.15">
      <c r="AG302" s="1"/>
    </row>
    <row r="303" spans="33:33" ht="13" x14ac:dyDescent="0.15">
      <c r="AG303" s="1"/>
    </row>
    <row r="304" spans="33:33" ht="13" x14ac:dyDescent="0.15">
      <c r="AG304" s="1"/>
    </row>
    <row r="305" spans="33:33" ht="13" x14ac:dyDescent="0.15">
      <c r="AG305" s="1"/>
    </row>
    <row r="306" spans="33:33" ht="13" x14ac:dyDescent="0.15">
      <c r="AG306" s="1"/>
    </row>
    <row r="307" spans="33:33" ht="13" x14ac:dyDescent="0.15">
      <c r="AG307" s="1"/>
    </row>
    <row r="308" spans="33:33" ht="13" x14ac:dyDescent="0.15">
      <c r="AG308" s="1"/>
    </row>
    <row r="309" spans="33:33" ht="13" x14ac:dyDescent="0.15">
      <c r="AG309" s="1"/>
    </row>
    <row r="310" spans="33:33" ht="13" x14ac:dyDescent="0.15">
      <c r="AG310" s="1"/>
    </row>
    <row r="311" spans="33:33" ht="13" x14ac:dyDescent="0.15">
      <c r="AG311" s="1"/>
    </row>
    <row r="312" spans="33:33" ht="13" x14ac:dyDescent="0.15">
      <c r="AG312" s="1"/>
    </row>
    <row r="313" spans="33:33" ht="13" x14ac:dyDescent="0.15">
      <c r="AG313" s="1"/>
    </row>
    <row r="314" spans="33:33" ht="13" x14ac:dyDescent="0.15">
      <c r="AG314" s="1"/>
    </row>
    <row r="315" spans="33:33" ht="13" x14ac:dyDescent="0.15">
      <c r="AG315" s="1"/>
    </row>
    <row r="316" spans="33:33" ht="13" x14ac:dyDescent="0.15">
      <c r="AG316" s="1"/>
    </row>
    <row r="317" spans="33:33" ht="13" x14ac:dyDescent="0.15">
      <c r="AG317" s="1"/>
    </row>
    <row r="318" spans="33:33" ht="13" x14ac:dyDescent="0.15">
      <c r="AG318" s="1"/>
    </row>
    <row r="319" spans="33:33" ht="13" x14ac:dyDescent="0.15">
      <c r="AG319" s="1"/>
    </row>
    <row r="320" spans="33:33" ht="13" x14ac:dyDescent="0.15">
      <c r="AG320" s="1"/>
    </row>
    <row r="321" spans="33:33" ht="13" x14ac:dyDescent="0.15">
      <c r="AG321" s="1"/>
    </row>
    <row r="322" spans="33:33" ht="13" x14ac:dyDescent="0.15">
      <c r="AG322" s="1"/>
    </row>
    <row r="323" spans="33:33" ht="13" x14ac:dyDescent="0.15">
      <c r="AG323" s="1"/>
    </row>
    <row r="324" spans="33:33" ht="13" x14ac:dyDescent="0.15">
      <c r="AG324" s="1"/>
    </row>
    <row r="325" spans="33:33" ht="13" x14ac:dyDescent="0.15">
      <c r="AG325" s="1"/>
    </row>
    <row r="326" spans="33:33" ht="13" x14ac:dyDescent="0.15">
      <c r="AG326" s="1"/>
    </row>
    <row r="327" spans="33:33" ht="13" x14ac:dyDescent="0.15">
      <c r="AG327" s="1"/>
    </row>
    <row r="328" spans="33:33" ht="13" x14ac:dyDescent="0.15">
      <c r="AG328" s="1"/>
    </row>
    <row r="329" spans="33:33" ht="13" x14ac:dyDescent="0.15">
      <c r="AG329" s="1"/>
    </row>
    <row r="330" spans="33:33" ht="13" x14ac:dyDescent="0.15">
      <c r="AG330" s="1"/>
    </row>
    <row r="331" spans="33:33" ht="13" x14ac:dyDescent="0.15">
      <c r="AG331" s="1"/>
    </row>
    <row r="332" spans="33:33" ht="13" x14ac:dyDescent="0.15">
      <c r="AG332" s="1"/>
    </row>
    <row r="333" spans="33:33" ht="13" x14ac:dyDescent="0.15">
      <c r="AG333" s="1"/>
    </row>
    <row r="334" spans="33:33" ht="13" x14ac:dyDescent="0.15">
      <c r="AG334" s="1"/>
    </row>
    <row r="335" spans="33:33" ht="13" x14ac:dyDescent="0.15">
      <c r="AG335" s="1"/>
    </row>
    <row r="336" spans="33:33" ht="13" x14ac:dyDescent="0.15">
      <c r="AG336" s="1"/>
    </row>
    <row r="337" spans="33:33" ht="13" x14ac:dyDescent="0.15">
      <c r="AG337" s="1"/>
    </row>
    <row r="338" spans="33:33" ht="13" x14ac:dyDescent="0.15">
      <c r="AG338" s="1"/>
    </row>
    <row r="339" spans="33:33" ht="13" x14ac:dyDescent="0.15">
      <c r="AG339" s="1"/>
    </row>
    <row r="340" spans="33:33" ht="13" x14ac:dyDescent="0.15">
      <c r="AG340" s="1"/>
    </row>
    <row r="341" spans="33:33" ht="13" x14ac:dyDescent="0.15">
      <c r="AG341" s="1"/>
    </row>
    <row r="342" spans="33:33" ht="13" x14ac:dyDescent="0.15">
      <c r="AG342" s="1"/>
    </row>
    <row r="343" spans="33:33" ht="13" x14ac:dyDescent="0.15">
      <c r="AG343" s="1"/>
    </row>
    <row r="344" spans="33:33" ht="13" x14ac:dyDescent="0.15">
      <c r="AG344" s="1"/>
    </row>
    <row r="345" spans="33:33" ht="13" x14ac:dyDescent="0.15">
      <c r="AG345" s="1"/>
    </row>
    <row r="346" spans="33:33" ht="13" x14ac:dyDescent="0.15">
      <c r="AG346" s="1"/>
    </row>
    <row r="347" spans="33:33" ht="13" x14ac:dyDescent="0.15">
      <c r="AG347" s="1"/>
    </row>
    <row r="348" spans="33:33" ht="13" x14ac:dyDescent="0.15">
      <c r="AG348" s="1"/>
    </row>
    <row r="349" spans="33:33" ht="13" x14ac:dyDescent="0.15">
      <c r="AG349" s="1"/>
    </row>
    <row r="350" spans="33:33" ht="13" x14ac:dyDescent="0.15">
      <c r="AG350" s="1"/>
    </row>
    <row r="351" spans="33:33" ht="13" x14ac:dyDescent="0.15">
      <c r="AG351" s="1"/>
    </row>
    <row r="352" spans="33:33" ht="13" x14ac:dyDescent="0.15">
      <c r="AG352" s="1"/>
    </row>
    <row r="353" spans="33:33" ht="13" x14ac:dyDescent="0.15">
      <c r="AG353" s="1"/>
    </row>
    <row r="354" spans="33:33" ht="13" x14ac:dyDescent="0.15">
      <c r="AG354" s="1"/>
    </row>
    <row r="355" spans="33:33" ht="13" x14ac:dyDescent="0.15">
      <c r="AG355" s="1"/>
    </row>
    <row r="356" spans="33:33" ht="13" x14ac:dyDescent="0.15">
      <c r="AG356" s="1"/>
    </row>
    <row r="357" spans="33:33" ht="13" x14ac:dyDescent="0.15">
      <c r="AG357" s="1"/>
    </row>
    <row r="358" spans="33:33" ht="13" x14ac:dyDescent="0.15">
      <c r="AG358" s="1"/>
    </row>
    <row r="359" spans="33:33" ht="13" x14ac:dyDescent="0.15">
      <c r="AG359" s="1"/>
    </row>
    <row r="360" spans="33:33" ht="13" x14ac:dyDescent="0.15">
      <c r="AG360" s="1"/>
    </row>
    <row r="361" spans="33:33" ht="13" x14ac:dyDescent="0.15">
      <c r="AG361" s="1"/>
    </row>
    <row r="362" spans="33:33" ht="13" x14ac:dyDescent="0.15">
      <c r="AG362" s="1"/>
    </row>
    <row r="363" spans="33:33" ht="13" x14ac:dyDescent="0.15">
      <c r="AG363" s="1"/>
    </row>
    <row r="364" spans="33:33" ht="13" x14ac:dyDescent="0.15">
      <c r="AG364" s="1"/>
    </row>
    <row r="365" spans="33:33" ht="13" x14ac:dyDescent="0.15">
      <c r="AG365" s="1"/>
    </row>
    <row r="366" spans="33:33" ht="13" x14ac:dyDescent="0.15">
      <c r="AG366" s="1"/>
    </row>
    <row r="367" spans="33:33" ht="13" x14ac:dyDescent="0.15">
      <c r="AG367" s="1"/>
    </row>
    <row r="368" spans="33:33" ht="13" x14ac:dyDescent="0.15">
      <c r="AG368" s="1"/>
    </row>
    <row r="369" spans="33:33" ht="13" x14ac:dyDescent="0.15">
      <c r="AG369" s="1"/>
    </row>
    <row r="370" spans="33:33" ht="13" x14ac:dyDescent="0.15">
      <c r="AG370" s="1"/>
    </row>
    <row r="371" spans="33:33" ht="13" x14ac:dyDescent="0.15">
      <c r="AG371" s="1"/>
    </row>
    <row r="372" spans="33:33" ht="13" x14ac:dyDescent="0.15">
      <c r="AG372" s="1"/>
    </row>
    <row r="373" spans="33:33" ht="13" x14ac:dyDescent="0.15">
      <c r="AG373" s="1"/>
    </row>
    <row r="374" spans="33:33" ht="13" x14ac:dyDescent="0.15">
      <c r="AG374" s="1"/>
    </row>
    <row r="375" spans="33:33" ht="13" x14ac:dyDescent="0.15">
      <c r="AG375" s="1"/>
    </row>
    <row r="376" spans="33:33" ht="13" x14ac:dyDescent="0.15">
      <c r="AG376" s="1"/>
    </row>
    <row r="377" spans="33:33" ht="13" x14ac:dyDescent="0.15">
      <c r="AG377" s="1"/>
    </row>
    <row r="378" spans="33:33" ht="13" x14ac:dyDescent="0.15">
      <c r="AG378" s="1"/>
    </row>
    <row r="379" spans="33:33" ht="13" x14ac:dyDescent="0.15">
      <c r="AG379" s="1"/>
    </row>
    <row r="380" spans="33:33" ht="13" x14ac:dyDescent="0.15">
      <c r="AG380" s="1"/>
    </row>
    <row r="381" spans="33:33" ht="13" x14ac:dyDescent="0.15">
      <c r="AG381" s="1"/>
    </row>
    <row r="382" spans="33:33" ht="13" x14ac:dyDescent="0.15">
      <c r="AG382" s="1"/>
    </row>
    <row r="383" spans="33:33" ht="13" x14ac:dyDescent="0.15">
      <c r="AG383" s="1"/>
    </row>
    <row r="384" spans="33:33" ht="13" x14ac:dyDescent="0.15">
      <c r="AG384" s="1"/>
    </row>
    <row r="385" spans="33:33" ht="13" x14ac:dyDescent="0.15">
      <c r="AG385" s="1"/>
    </row>
    <row r="386" spans="33:33" ht="13" x14ac:dyDescent="0.15">
      <c r="AG386" s="1"/>
    </row>
    <row r="387" spans="33:33" ht="13" x14ac:dyDescent="0.15">
      <c r="AG387" s="1"/>
    </row>
    <row r="388" spans="33:33" ht="13" x14ac:dyDescent="0.15">
      <c r="AG388" s="1"/>
    </row>
    <row r="389" spans="33:33" ht="13" x14ac:dyDescent="0.15">
      <c r="AG389" s="1"/>
    </row>
    <row r="390" spans="33:33" ht="13" x14ac:dyDescent="0.15">
      <c r="AG390" s="1"/>
    </row>
    <row r="391" spans="33:33" ht="13" x14ac:dyDescent="0.15">
      <c r="AG391" s="1"/>
    </row>
    <row r="392" spans="33:33" ht="13" x14ac:dyDescent="0.15">
      <c r="AG392" s="1"/>
    </row>
    <row r="393" spans="33:33" ht="13" x14ac:dyDescent="0.15">
      <c r="AG393" s="1"/>
    </row>
    <row r="394" spans="33:33" ht="13" x14ac:dyDescent="0.15">
      <c r="AG394" s="1"/>
    </row>
    <row r="395" spans="33:33" ht="13" x14ac:dyDescent="0.15">
      <c r="AG395" s="1"/>
    </row>
    <row r="396" spans="33:33" ht="13" x14ac:dyDescent="0.15">
      <c r="AG396" s="1"/>
    </row>
    <row r="397" spans="33:33" ht="13" x14ac:dyDescent="0.15">
      <c r="AG397" s="1"/>
    </row>
    <row r="398" spans="33:33" ht="13" x14ac:dyDescent="0.15">
      <c r="AG398" s="1"/>
    </row>
    <row r="399" spans="33:33" ht="13" x14ac:dyDescent="0.15">
      <c r="AG399" s="1"/>
    </row>
    <row r="400" spans="33:33" ht="13" x14ac:dyDescent="0.15">
      <c r="AG400" s="1"/>
    </row>
    <row r="401" spans="33:33" ht="13" x14ac:dyDescent="0.15">
      <c r="AG401" s="1"/>
    </row>
    <row r="402" spans="33:33" ht="13" x14ac:dyDescent="0.15">
      <c r="AG402" s="1"/>
    </row>
    <row r="403" spans="33:33" ht="13" x14ac:dyDescent="0.15">
      <c r="AG403" s="1"/>
    </row>
    <row r="404" spans="33:33" ht="13" x14ac:dyDescent="0.15">
      <c r="AG404" s="1"/>
    </row>
    <row r="405" spans="33:33" ht="13" x14ac:dyDescent="0.15">
      <c r="AG405" s="1"/>
    </row>
    <row r="406" spans="33:33" ht="13" x14ac:dyDescent="0.15">
      <c r="AG406" s="1"/>
    </row>
    <row r="407" spans="33:33" ht="13" x14ac:dyDescent="0.15">
      <c r="AG407" s="1"/>
    </row>
    <row r="408" spans="33:33" ht="13" x14ac:dyDescent="0.15">
      <c r="AG408" s="1"/>
    </row>
    <row r="409" spans="33:33" ht="13" x14ac:dyDescent="0.15">
      <c r="AG409" s="1"/>
    </row>
    <row r="410" spans="33:33" ht="13" x14ac:dyDescent="0.15">
      <c r="AG410" s="1"/>
    </row>
    <row r="411" spans="33:33" ht="13" x14ac:dyDescent="0.15">
      <c r="AG411" s="1"/>
    </row>
    <row r="412" spans="33:33" ht="13" x14ac:dyDescent="0.15">
      <c r="AG412" s="1"/>
    </row>
    <row r="413" spans="33:33" ht="13" x14ac:dyDescent="0.15">
      <c r="AG413" s="1"/>
    </row>
    <row r="414" spans="33:33" ht="13" x14ac:dyDescent="0.15">
      <c r="AG414" s="1"/>
    </row>
    <row r="415" spans="33:33" ht="13" x14ac:dyDescent="0.15">
      <c r="AG415" s="1"/>
    </row>
    <row r="416" spans="33:33" ht="13" x14ac:dyDescent="0.15">
      <c r="AG416" s="1"/>
    </row>
    <row r="417" spans="33:33" ht="13" x14ac:dyDescent="0.15">
      <c r="AG417" s="1"/>
    </row>
    <row r="418" spans="33:33" ht="13" x14ac:dyDescent="0.15">
      <c r="AG418" s="1"/>
    </row>
    <row r="419" spans="33:33" ht="13" x14ac:dyDescent="0.15">
      <c r="AG419" s="1"/>
    </row>
    <row r="420" spans="33:33" ht="13" x14ac:dyDescent="0.15">
      <c r="AG420" s="1"/>
    </row>
    <row r="421" spans="33:33" ht="13" x14ac:dyDescent="0.15">
      <c r="AG421" s="1"/>
    </row>
    <row r="422" spans="33:33" ht="13" x14ac:dyDescent="0.15">
      <c r="AG422" s="1"/>
    </row>
    <row r="423" spans="33:33" ht="13" x14ac:dyDescent="0.15">
      <c r="AG423" s="1"/>
    </row>
    <row r="424" spans="33:33" ht="13" x14ac:dyDescent="0.15">
      <c r="AG424" s="1"/>
    </row>
    <row r="425" spans="33:33" ht="13" x14ac:dyDescent="0.15">
      <c r="AG425" s="1"/>
    </row>
    <row r="426" spans="33:33" ht="13" x14ac:dyDescent="0.15">
      <c r="AG426" s="1"/>
    </row>
    <row r="427" spans="33:33" ht="13" x14ac:dyDescent="0.15">
      <c r="AG427" s="1"/>
    </row>
    <row r="428" spans="33:33" ht="13" x14ac:dyDescent="0.15">
      <c r="AG428" s="1"/>
    </row>
    <row r="429" spans="33:33" ht="13" x14ac:dyDescent="0.15">
      <c r="AG429" s="1"/>
    </row>
    <row r="430" spans="33:33" ht="13" x14ac:dyDescent="0.15">
      <c r="AG430" s="1"/>
    </row>
    <row r="431" spans="33:33" ht="13" x14ac:dyDescent="0.15">
      <c r="AG431" s="1"/>
    </row>
    <row r="432" spans="33:33" ht="13" x14ac:dyDescent="0.15">
      <c r="AG432" s="1"/>
    </row>
    <row r="433" spans="33:33" ht="13" x14ac:dyDescent="0.15">
      <c r="AG433" s="1"/>
    </row>
    <row r="434" spans="33:33" ht="13" x14ac:dyDescent="0.15">
      <c r="AG434" s="1"/>
    </row>
    <row r="435" spans="33:33" ht="13" x14ac:dyDescent="0.15">
      <c r="AG435" s="1"/>
    </row>
    <row r="436" spans="33:33" ht="13" x14ac:dyDescent="0.15">
      <c r="AG436" s="1"/>
    </row>
    <row r="437" spans="33:33" ht="13" x14ac:dyDescent="0.15">
      <c r="AG437" s="1"/>
    </row>
    <row r="438" spans="33:33" ht="13" x14ac:dyDescent="0.15">
      <c r="AG438" s="1"/>
    </row>
    <row r="439" spans="33:33" ht="13" x14ac:dyDescent="0.15">
      <c r="AG439" s="1"/>
    </row>
    <row r="440" spans="33:33" ht="13" x14ac:dyDescent="0.15">
      <c r="AG440" s="1"/>
    </row>
    <row r="441" spans="33:33" ht="13" x14ac:dyDescent="0.15">
      <c r="AG441" s="1"/>
    </row>
    <row r="442" spans="33:33" ht="13" x14ac:dyDescent="0.15">
      <c r="AG442" s="1"/>
    </row>
    <row r="443" spans="33:33" ht="13" x14ac:dyDescent="0.15">
      <c r="AG443" s="1"/>
    </row>
    <row r="444" spans="33:33" ht="13" x14ac:dyDescent="0.15">
      <c r="AG444" s="1"/>
    </row>
    <row r="445" spans="33:33" ht="13" x14ac:dyDescent="0.15">
      <c r="AG445" s="1"/>
    </row>
    <row r="446" spans="33:33" ht="13" x14ac:dyDescent="0.15">
      <c r="AG446" s="1"/>
    </row>
    <row r="447" spans="33:33" ht="13" x14ac:dyDescent="0.15">
      <c r="AG447" s="1"/>
    </row>
    <row r="448" spans="33:33" ht="13" x14ac:dyDescent="0.15">
      <c r="AG448" s="1"/>
    </row>
    <row r="449" spans="33:33" ht="13" x14ac:dyDescent="0.15">
      <c r="AG449" s="1"/>
    </row>
    <row r="450" spans="33:33" ht="13" x14ac:dyDescent="0.15">
      <c r="AG450" s="1"/>
    </row>
    <row r="451" spans="33:33" ht="13" x14ac:dyDescent="0.15">
      <c r="AG451" s="1"/>
    </row>
    <row r="452" spans="33:33" ht="13" x14ac:dyDescent="0.15">
      <c r="AG452" s="1"/>
    </row>
    <row r="453" spans="33:33" ht="13" x14ac:dyDescent="0.15">
      <c r="AG453" s="1"/>
    </row>
    <row r="454" spans="33:33" ht="13" x14ac:dyDescent="0.15">
      <c r="AG454" s="1"/>
    </row>
    <row r="455" spans="33:33" ht="13" x14ac:dyDescent="0.15">
      <c r="AG455" s="1"/>
    </row>
    <row r="456" spans="33:33" ht="13" x14ac:dyDescent="0.15">
      <c r="AG456" s="1"/>
    </row>
    <row r="457" spans="33:33" ht="13" x14ac:dyDescent="0.15">
      <c r="AG457" s="1"/>
    </row>
    <row r="458" spans="33:33" ht="13" x14ac:dyDescent="0.15">
      <c r="AG458" s="1"/>
    </row>
    <row r="459" spans="33:33" ht="13" x14ac:dyDescent="0.15">
      <c r="AG459" s="1"/>
    </row>
    <row r="460" spans="33:33" ht="13" x14ac:dyDescent="0.15">
      <c r="AG460" s="1"/>
    </row>
    <row r="461" spans="33:33" ht="13" x14ac:dyDescent="0.15">
      <c r="AG461" s="1"/>
    </row>
    <row r="462" spans="33:33" ht="13" x14ac:dyDescent="0.15">
      <c r="AG462" s="1"/>
    </row>
    <row r="463" spans="33:33" ht="13" x14ac:dyDescent="0.15">
      <c r="AG463" s="1"/>
    </row>
    <row r="464" spans="33:33" ht="13" x14ac:dyDescent="0.15">
      <c r="AG464" s="1"/>
    </row>
    <row r="465" spans="33:33" ht="13" x14ac:dyDescent="0.15">
      <c r="AG465" s="1"/>
    </row>
    <row r="466" spans="33:33" ht="13" x14ac:dyDescent="0.15">
      <c r="AG466" s="1"/>
    </row>
    <row r="467" spans="33:33" ht="13" x14ac:dyDescent="0.15">
      <c r="AG467" s="1"/>
    </row>
    <row r="468" spans="33:33" ht="13" x14ac:dyDescent="0.15">
      <c r="AG468" s="1"/>
    </row>
    <row r="469" spans="33:33" ht="13" x14ac:dyDescent="0.15">
      <c r="AG469" s="1"/>
    </row>
    <row r="470" spans="33:33" ht="13" x14ac:dyDescent="0.15">
      <c r="AG470" s="1"/>
    </row>
    <row r="471" spans="33:33" ht="13" x14ac:dyDescent="0.15">
      <c r="AG471" s="1"/>
    </row>
    <row r="472" spans="33:33" ht="13" x14ac:dyDescent="0.15">
      <c r="AG472" s="1"/>
    </row>
    <row r="473" spans="33:33" ht="13" x14ac:dyDescent="0.15">
      <c r="AG473" s="1"/>
    </row>
    <row r="474" spans="33:33" ht="13" x14ac:dyDescent="0.15">
      <c r="AG474" s="1"/>
    </row>
    <row r="475" spans="33:33" ht="13" x14ac:dyDescent="0.15">
      <c r="AG475" s="1"/>
    </row>
    <row r="476" spans="33:33" ht="13" x14ac:dyDescent="0.15">
      <c r="AG476" s="1"/>
    </row>
    <row r="477" spans="33:33" ht="13" x14ac:dyDescent="0.15">
      <c r="AG477" s="1"/>
    </row>
    <row r="478" spans="33:33" ht="13" x14ac:dyDescent="0.15">
      <c r="AG478" s="1"/>
    </row>
    <row r="479" spans="33:33" ht="13" x14ac:dyDescent="0.15">
      <c r="AG479" s="1"/>
    </row>
    <row r="480" spans="33:33" ht="13" x14ac:dyDescent="0.15">
      <c r="AG480" s="1"/>
    </row>
    <row r="481" spans="33:33" ht="13" x14ac:dyDescent="0.15">
      <c r="AG481" s="1"/>
    </row>
    <row r="482" spans="33:33" ht="13" x14ac:dyDescent="0.15">
      <c r="AG482" s="1"/>
    </row>
    <row r="483" spans="33:33" ht="13" x14ac:dyDescent="0.15">
      <c r="AG483" s="1"/>
    </row>
    <row r="484" spans="33:33" ht="13" x14ac:dyDescent="0.15">
      <c r="AG484" s="1"/>
    </row>
    <row r="485" spans="33:33" ht="13" x14ac:dyDescent="0.15">
      <c r="AG485" s="1"/>
    </row>
    <row r="486" spans="33:33" ht="13" x14ac:dyDescent="0.15">
      <c r="AG486" s="1"/>
    </row>
    <row r="487" spans="33:33" ht="13" x14ac:dyDescent="0.15">
      <c r="AG487" s="1"/>
    </row>
    <row r="488" spans="33:33" ht="13" x14ac:dyDescent="0.15">
      <c r="AG488" s="1"/>
    </row>
    <row r="489" spans="33:33" ht="13" x14ac:dyDescent="0.15">
      <c r="AG489" s="1"/>
    </row>
    <row r="490" spans="33:33" ht="13" x14ac:dyDescent="0.15">
      <c r="AG490" s="1"/>
    </row>
    <row r="491" spans="33:33" ht="13" x14ac:dyDescent="0.15">
      <c r="AG491" s="1"/>
    </row>
    <row r="492" spans="33:33" ht="13" x14ac:dyDescent="0.15">
      <c r="AG492" s="1"/>
    </row>
    <row r="493" spans="33:33" ht="13" x14ac:dyDescent="0.15">
      <c r="AG493" s="1"/>
    </row>
    <row r="494" spans="33:33" ht="13" x14ac:dyDescent="0.15">
      <c r="AG494" s="1"/>
    </row>
    <row r="495" spans="33:33" ht="13" x14ac:dyDescent="0.15">
      <c r="AG495" s="1"/>
    </row>
    <row r="496" spans="33:33" ht="13" x14ac:dyDescent="0.15">
      <c r="AG496" s="1"/>
    </row>
    <row r="497" spans="33:33" ht="13" x14ac:dyDescent="0.15">
      <c r="AG497" s="1"/>
    </row>
    <row r="498" spans="33:33" ht="13" x14ac:dyDescent="0.15">
      <c r="AG498" s="1"/>
    </row>
    <row r="499" spans="33:33" ht="13" x14ac:dyDescent="0.15">
      <c r="AG499" s="1"/>
    </row>
    <row r="500" spans="33:33" ht="13" x14ac:dyDescent="0.15">
      <c r="AG500" s="1"/>
    </row>
    <row r="501" spans="33:33" ht="13" x14ac:dyDescent="0.15">
      <c r="AG501" s="1"/>
    </row>
    <row r="502" spans="33:33" ht="13" x14ac:dyDescent="0.15">
      <c r="AG502" s="1"/>
    </row>
    <row r="503" spans="33:33" ht="13" x14ac:dyDescent="0.15">
      <c r="AG503" s="1"/>
    </row>
    <row r="504" spans="33:33" ht="13" x14ac:dyDescent="0.15">
      <c r="AG504" s="1"/>
    </row>
    <row r="505" spans="33:33" ht="13" x14ac:dyDescent="0.15">
      <c r="AG505" s="1"/>
    </row>
    <row r="506" spans="33:33" ht="13" x14ac:dyDescent="0.15">
      <c r="AG506" s="1"/>
    </row>
    <row r="507" spans="33:33" ht="13" x14ac:dyDescent="0.15">
      <c r="AG507" s="1"/>
    </row>
    <row r="508" spans="33:33" ht="13" x14ac:dyDescent="0.15">
      <c r="AG508" s="1"/>
    </row>
    <row r="509" spans="33:33" ht="13" x14ac:dyDescent="0.15">
      <c r="AG509" s="1"/>
    </row>
    <row r="510" spans="33:33" ht="13" x14ac:dyDescent="0.15">
      <c r="AG510" s="1"/>
    </row>
    <row r="511" spans="33:33" ht="13" x14ac:dyDescent="0.15">
      <c r="AG511" s="1"/>
    </row>
    <row r="512" spans="33:33" ht="13" x14ac:dyDescent="0.15">
      <c r="AG512" s="1"/>
    </row>
    <row r="513" spans="33:33" ht="13" x14ac:dyDescent="0.15">
      <c r="AG513" s="1"/>
    </row>
    <row r="514" spans="33:33" ht="13" x14ac:dyDescent="0.15">
      <c r="AG514" s="1"/>
    </row>
    <row r="515" spans="33:33" ht="13" x14ac:dyDescent="0.15">
      <c r="AG515" s="1"/>
    </row>
    <row r="516" spans="33:33" ht="13" x14ac:dyDescent="0.15">
      <c r="AG516" s="1"/>
    </row>
    <row r="517" spans="33:33" ht="13" x14ac:dyDescent="0.15">
      <c r="AG517" s="1"/>
    </row>
    <row r="518" spans="33:33" ht="13" x14ac:dyDescent="0.15">
      <c r="AG518" s="1"/>
    </row>
    <row r="519" spans="33:33" ht="13" x14ac:dyDescent="0.15">
      <c r="AG519" s="1"/>
    </row>
    <row r="520" spans="33:33" ht="13" x14ac:dyDescent="0.15">
      <c r="AG520" s="1"/>
    </row>
    <row r="521" spans="33:33" ht="13" x14ac:dyDescent="0.15">
      <c r="AG521" s="1"/>
    </row>
    <row r="522" spans="33:33" ht="13" x14ac:dyDescent="0.15">
      <c r="AG522" s="1"/>
    </row>
    <row r="523" spans="33:33" ht="13" x14ac:dyDescent="0.15">
      <c r="AG523" s="1"/>
    </row>
    <row r="524" spans="33:33" ht="13" x14ac:dyDescent="0.15">
      <c r="AG524" s="1"/>
    </row>
    <row r="525" spans="33:33" ht="13" x14ac:dyDescent="0.15">
      <c r="AG525" s="1"/>
    </row>
    <row r="526" spans="33:33" ht="13" x14ac:dyDescent="0.15">
      <c r="AG526" s="1"/>
    </row>
    <row r="527" spans="33:33" ht="13" x14ac:dyDescent="0.15">
      <c r="AG527" s="1"/>
    </row>
    <row r="528" spans="33:33" ht="13" x14ac:dyDescent="0.15">
      <c r="AG528" s="1"/>
    </row>
    <row r="529" spans="33:33" ht="13" x14ac:dyDescent="0.15">
      <c r="AG529" s="1"/>
    </row>
    <row r="530" spans="33:33" ht="13" x14ac:dyDescent="0.15">
      <c r="AG530" s="1"/>
    </row>
    <row r="531" spans="33:33" ht="13" x14ac:dyDescent="0.15">
      <c r="AG531" s="1"/>
    </row>
    <row r="532" spans="33:33" ht="13" x14ac:dyDescent="0.15">
      <c r="AG532" s="1"/>
    </row>
    <row r="533" spans="33:33" ht="13" x14ac:dyDescent="0.15">
      <c r="AG533" s="1"/>
    </row>
    <row r="534" spans="33:33" ht="13" x14ac:dyDescent="0.15">
      <c r="AG534" s="1"/>
    </row>
    <row r="535" spans="33:33" ht="13" x14ac:dyDescent="0.15">
      <c r="AG535" s="1"/>
    </row>
    <row r="536" spans="33:33" ht="13" x14ac:dyDescent="0.15">
      <c r="AG536" s="1"/>
    </row>
    <row r="537" spans="33:33" ht="13" x14ac:dyDescent="0.15">
      <c r="AG537" s="1"/>
    </row>
    <row r="538" spans="33:33" ht="13" x14ac:dyDescent="0.15">
      <c r="AG538" s="1"/>
    </row>
    <row r="539" spans="33:33" ht="13" x14ac:dyDescent="0.15">
      <c r="AG539" s="1"/>
    </row>
    <row r="540" spans="33:33" ht="13" x14ac:dyDescent="0.15">
      <c r="AG540" s="1"/>
    </row>
    <row r="541" spans="33:33" ht="13" x14ac:dyDescent="0.15">
      <c r="AG541" s="1"/>
    </row>
    <row r="542" spans="33:33" ht="13" x14ac:dyDescent="0.15">
      <c r="AG542" s="1"/>
    </row>
    <row r="543" spans="33:33" ht="13" x14ac:dyDescent="0.15">
      <c r="AG543" s="1"/>
    </row>
    <row r="544" spans="33:33" ht="13" x14ac:dyDescent="0.15">
      <c r="AG544" s="1"/>
    </row>
    <row r="545" spans="33:33" ht="13" x14ac:dyDescent="0.15">
      <c r="AG545" s="1"/>
    </row>
    <row r="546" spans="33:33" ht="13" x14ac:dyDescent="0.15">
      <c r="AG546" s="1"/>
    </row>
    <row r="547" spans="33:33" ht="13" x14ac:dyDescent="0.15">
      <c r="AG547" s="1"/>
    </row>
    <row r="548" spans="33:33" ht="13" x14ac:dyDescent="0.15">
      <c r="AG548" s="1"/>
    </row>
    <row r="549" spans="33:33" ht="13" x14ac:dyDescent="0.15">
      <c r="AG549" s="1"/>
    </row>
    <row r="550" spans="33:33" ht="13" x14ac:dyDescent="0.15">
      <c r="AG550" s="1"/>
    </row>
    <row r="551" spans="33:33" ht="13" x14ac:dyDescent="0.15">
      <c r="AG551" s="1"/>
    </row>
    <row r="552" spans="33:33" ht="13" x14ac:dyDescent="0.15">
      <c r="AG552" s="1"/>
    </row>
    <row r="553" spans="33:33" ht="13" x14ac:dyDescent="0.15">
      <c r="AG553" s="1"/>
    </row>
    <row r="554" spans="33:33" ht="13" x14ac:dyDescent="0.15">
      <c r="AG554" s="1"/>
    </row>
    <row r="555" spans="33:33" ht="13" x14ac:dyDescent="0.15">
      <c r="AG555" s="1"/>
    </row>
    <row r="556" spans="33:33" ht="13" x14ac:dyDescent="0.15">
      <c r="AG556" s="1"/>
    </row>
    <row r="557" spans="33:33" ht="13" x14ac:dyDescent="0.15">
      <c r="AG557" s="1"/>
    </row>
    <row r="558" spans="33:33" ht="13" x14ac:dyDescent="0.15">
      <c r="AG558" s="1"/>
    </row>
    <row r="559" spans="33:33" ht="13" x14ac:dyDescent="0.15">
      <c r="AG559" s="1"/>
    </row>
    <row r="560" spans="33:33" ht="13" x14ac:dyDescent="0.15">
      <c r="AG560" s="1"/>
    </row>
    <row r="561" spans="33:33" ht="13" x14ac:dyDescent="0.15">
      <c r="AG561" s="1"/>
    </row>
    <row r="562" spans="33:33" ht="13" x14ac:dyDescent="0.15">
      <c r="AG562" s="1"/>
    </row>
    <row r="563" spans="33:33" ht="13" x14ac:dyDescent="0.15">
      <c r="AG563" s="1"/>
    </row>
    <row r="564" spans="33:33" ht="13" x14ac:dyDescent="0.15">
      <c r="AG564" s="1"/>
    </row>
    <row r="565" spans="33:33" ht="13" x14ac:dyDescent="0.15">
      <c r="AG565" s="1"/>
    </row>
    <row r="566" spans="33:33" ht="13" x14ac:dyDescent="0.15">
      <c r="AG566" s="1"/>
    </row>
    <row r="567" spans="33:33" ht="13" x14ac:dyDescent="0.15">
      <c r="AG567" s="1"/>
    </row>
    <row r="568" spans="33:33" ht="13" x14ac:dyDescent="0.15">
      <c r="AG568" s="1"/>
    </row>
    <row r="569" spans="33:33" ht="13" x14ac:dyDescent="0.15">
      <c r="AG569" s="1"/>
    </row>
    <row r="570" spans="33:33" ht="13" x14ac:dyDescent="0.15">
      <c r="AG570" s="1"/>
    </row>
    <row r="571" spans="33:33" ht="13" x14ac:dyDescent="0.15">
      <c r="AG571" s="1"/>
    </row>
    <row r="572" spans="33:33" ht="13" x14ac:dyDescent="0.15">
      <c r="AG572" s="1"/>
    </row>
    <row r="573" spans="33:33" ht="13" x14ac:dyDescent="0.15">
      <c r="AG573" s="1"/>
    </row>
    <row r="574" spans="33:33" ht="13" x14ac:dyDescent="0.15">
      <c r="AG574" s="1"/>
    </row>
    <row r="575" spans="33:33" ht="13" x14ac:dyDescent="0.15">
      <c r="AG575" s="1"/>
    </row>
    <row r="576" spans="33:33" ht="13" x14ac:dyDescent="0.15">
      <c r="AG576" s="1"/>
    </row>
    <row r="577" spans="33:33" ht="13" x14ac:dyDescent="0.15">
      <c r="AG577" s="1"/>
    </row>
    <row r="578" spans="33:33" ht="13" x14ac:dyDescent="0.15">
      <c r="AG578" s="1"/>
    </row>
    <row r="579" spans="33:33" ht="13" x14ac:dyDescent="0.15">
      <c r="AG579" s="1"/>
    </row>
    <row r="580" spans="33:33" ht="13" x14ac:dyDescent="0.15">
      <c r="AG580" s="1"/>
    </row>
    <row r="581" spans="33:33" ht="13" x14ac:dyDescent="0.15">
      <c r="AG581" s="1"/>
    </row>
    <row r="582" spans="33:33" ht="13" x14ac:dyDescent="0.15">
      <c r="AG582" s="1"/>
    </row>
    <row r="583" spans="33:33" ht="13" x14ac:dyDescent="0.15">
      <c r="AG583" s="1"/>
    </row>
    <row r="584" spans="33:33" ht="13" x14ac:dyDescent="0.15">
      <c r="AG584" s="1"/>
    </row>
    <row r="585" spans="33:33" ht="13" x14ac:dyDescent="0.15">
      <c r="AG585" s="1"/>
    </row>
    <row r="586" spans="33:33" ht="13" x14ac:dyDescent="0.15">
      <c r="AG586" s="1"/>
    </row>
    <row r="587" spans="33:33" ht="13" x14ac:dyDescent="0.15">
      <c r="AG587" s="1"/>
    </row>
    <row r="588" spans="33:33" ht="13" x14ac:dyDescent="0.15">
      <c r="AG588" s="1"/>
    </row>
    <row r="589" spans="33:33" ht="13" x14ac:dyDescent="0.15">
      <c r="AG589" s="1"/>
    </row>
    <row r="590" spans="33:33" ht="13" x14ac:dyDescent="0.15">
      <c r="AG590" s="1"/>
    </row>
    <row r="591" spans="33:33" ht="13" x14ac:dyDescent="0.15">
      <c r="AG591" s="1"/>
    </row>
    <row r="592" spans="33:33" ht="13" x14ac:dyDescent="0.15">
      <c r="AG592" s="1"/>
    </row>
    <row r="593" spans="33:33" ht="13" x14ac:dyDescent="0.15">
      <c r="AG593" s="1"/>
    </row>
    <row r="594" spans="33:33" ht="13" x14ac:dyDescent="0.15">
      <c r="AG594" s="1"/>
    </row>
    <row r="595" spans="33:33" ht="13" x14ac:dyDescent="0.15">
      <c r="AG595" s="1"/>
    </row>
    <row r="596" spans="33:33" ht="13" x14ac:dyDescent="0.15">
      <c r="AG596" s="1"/>
    </row>
    <row r="597" spans="33:33" ht="13" x14ac:dyDescent="0.15">
      <c r="AG597" s="1"/>
    </row>
    <row r="598" spans="33:33" ht="13" x14ac:dyDescent="0.15">
      <c r="AG598" s="1"/>
    </row>
    <row r="599" spans="33:33" ht="13" x14ac:dyDescent="0.15">
      <c r="AG599" s="1"/>
    </row>
    <row r="600" spans="33:33" ht="13" x14ac:dyDescent="0.15">
      <c r="AG600" s="1"/>
    </row>
    <row r="601" spans="33:33" ht="13" x14ac:dyDescent="0.15">
      <c r="AG601" s="1"/>
    </row>
    <row r="602" spans="33:33" ht="13" x14ac:dyDescent="0.15">
      <c r="AG602" s="1"/>
    </row>
    <row r="603" spans="33:33" ht="13" x14ac:dyDescent="0.15">
      <c r="AG603" s="1"/>
    </row>
    <row r="604" spans="33:33" ht="13" x14ac:dyDescent="0.15">
      <c r="AG604" s="1"/>
    </row>
    <row r="605" spans="33:33" ht="13" x14ac:dyDescent="0.15">
      <c r="AG605" s="1"/>
    </row>
    <row r="606" spans="33:33" ht="13" x14ac:dyDescent="0.15">
      <c r="AG606" s="1"/>
    </row>
    <row r="607" spans="33:33" ht="13" x14ac:dyDescent="0.15">
      <c r="AG607" s="1"/>
    </row>
    <row r="608" spans="33:33" ht="13" x14ac:dyDescent="0.15">
      <c r="AG608" s="1"/>
    </row>
    <row r="609" spans="33:33" ht="13" x14ac:dyDescent="0.15">
      <c r="AG609" s="1"/>
    </row>
    <row r="610" spans="33:33" ht="13" x14ac:dyDescent="0.15">
      <c r="AG610" s="1"/>
    </row>
    <row r="611" spans="33:33" ht="13" x14ac:dyDescent="0.15">
      <c r="AG611" s="1"/>
    </row>
    <row r="612" spans="33:33" ht="13" x14ac:dyDescent="0.15">
      <c r="AG612" s="1"/>
    </row>
    <row r="613" spans="33:33" ht="13" x14ac:dyDescent="0.15">
      <c r="AG613" s="1"/>
    </row>
    <row r="614" spans="33:33" ht="13" x14ac:dyDescent="0.15">
      <c r="AG614" s="1"/>
    </row>
    <row r="615" spans="33:33" ht="13" x14ac:dyDescent="0.15">
      <c r="AG615" s="1"/>
    </row>
    <row r="616" spans="33:33" ht="13" x14ac:dyDescent="0.15">
      <c r="AG616" s="1"/>
    </row>
    <row r="617" spans="33:33" ht="13" x14ac:dyDescent="0.15">
      <c r="AG617" s="1"/>
    </row>
    <row r="618" spans="33:33" ht="13" x14ac:dyDescent="0.15">
      <c r="AG618" s="1"/>
    </row>
    <row r="619" spans="33:33" ht="13" x14ac:dyDescent="0.15">
      <c r="AG619" s="1"/>
    </row>
    <row r="620" spans="33:33" ht="13" x14ac:dyDescent="0.15">
      <c r="AG620" s="1"/>
    </row>
    <row r="621" spans="33:33" ht="13" x14ac:dyDescent="0.15">
      <c r="AG621" s="1"/>
    </row>
    <row r="622" spans="33:33" ht="13" x14ac:dyDescent="0.15">
      <c r="AG622" s="1"/>
    </row>
    <row r="623" spans="33:33" ht="13" x14ac:dyDescent="0.15">
      <c r="AG623" s="1"/>
    </row>
    <row r="624" spans="33:33" ht="13" x14ac:dyDescent="0.15">
      <c r="AG624" s="1"/>
    </row>
    <row r="625" spans="33:33" ht="13" x14ac:dyDescent="0.15">
      <c r="AG625" s="1"/>
    </row>
    <row r="626" spans="33:33" ht="13" x14ac:dyDescent="0.15">
      <c r="AG626" s="1"/>
    </row>
    <row r="627" spans="33:33" ht="13" x14ac:dyDescent="0.15">
      <c r="AG627" s="1"/>
    </row>
    <row r="628" spans="33:33" ht="13" x14ac:dyDescent="0.15">
      <c r="AG628" s="1"/>
    </row>
    <row r="629" spans="33:33" ht="13" x14ac:dyDescent="0.15">
      <c r="AG629" s="1"/>
    </row>
    <row r="630" spans="33:33" ht="13" x14ac:dyDescent="0.15">
      <c r="AG630" s="1"/>
    </row>
    <row r="631" spans="33:33" ht="13" x14ac:dyDescent="0.15">
      <c r="AG631" s="1"/>
    </row>
    <row r="632" spans="33:33" ht="13" x14ac:dyDescent="0.15">
      <c r="AG632" s="1"/>
    </row>
    <row r="633" spans="33:33" ht="13" x14ac:dyDescent="0.15">
      <c r="AG633" s="1"/>
    </row>
    <row r="634" spans="33:33" ht="13" x14ac:dyDescent="0.15">
      <c r="AG634" s="1"/>
    </row>
    <row r="635" spans="33:33" ht="13" x14ac:dyDescent="0.15">
      <c r="AG635" s="1"/>
    </row>
    <row r="636" spans="33:33" ht="13" x14ac:dyDescent="0.15">
      <c r="AG636" s="1"/>
    </row>
    <row r="637" spans="33:33" ht="13" x14ac:dyDescent="0.15">
      <c r="AG637" s="1"/>
    </row>
    <row r="638" spans="33:33" ht="13" x14ac:dyDescent="0.15">
      <c r="AG638" s="1"/>
    </row>
    <row r="639" spans="33:33" ht="13" x14ac:dyDescent="0.15">
      <c r="AG639" s="1"/>
    </row>
    <row r="640" spans="33:33" ht="13" x14ac:dyDescent="0.15">
      <c r="AG640" s="1"/>
    </row>
    <row r="641" spans="33:33" ht="13" x14ac:dyDescent="0.15">
      <c r="AG641" s="1"/>
    </row>
    <row r="642" spans="33:33" ht="13" x14ac:dyDescent="0.15">
      <c r="AG642" s="1"/>
    </row>
    <row r="643" spans="33:33" ht="13" x14ac:dyDescent="0.15">
      <c r="AG643" s="1"/>
    </row>
    <row r="644" spans="33:33" ht="13" x14ac:dyDescent="0.15">
      <c r="AG644" s="1"/>
    </row>
    <row r="645" spans="33:33" ht="13" x14ac:dyDescent="0.15">
      <c r="AG645" s="1"/>
    </row>
    <row r="646" spans="33:33" ht="13" x14ac:dyDescent="0.15">
      <c r="AG646" s="1"/>
    </row>
    <row r="647" spans="33:33" ht="13" x14ac:dyDescent="0.15">
      <c r="AG647" s="1"/>
    </row>
    <row r="648" spans="33:33" ht="13" x14ac:dyDescent="0.15">
      <c r="AG648" s="1"/>
    </row>
    <row r="649" spans="33:33" ht="13" x14ac:dyDescent="0.15">
      <c r="AG649" s="1"/>
    </row>
    <row r="650" spans="33:33" ht="13" x14ac:dyDescent="0.15">
      <c r="AG650" s="1"/>
    </row>
    <row r="651" spans="33:33" ht="13" x14ac:dyDescent="0.15">
      <c r="AG651" s="1"/>
    </row>
    <row r="652" spans="33:33" ht="13" x14ac:dyDescent="0.15">
      <c r="AG652" s="1"/>
    </row>
    <row r="653" spans="33:33" ht="13" x14ac:dyDescent="0.15">
      <c r="AG653" s="1"/>
    </row>
    <row r="654" spans="33:33" ht="13" x14ac:dyDescent="0.15">
      <c r="AG654" s="1"/>
    </row>
    <row r="655" spans="33:33" ht="13" x14ac:dyDescent="0.15">
      <c r="AG655" s="1"/>
    </row>
    <row r="656" spans="33:33" ht="13" x14ac:dyDescent="0.15">
      <c r="AG656" s="1"/>
    </row>
    <row r="657" spans="33:33" ht="13" x14ac:dyDescent="0.15">
      <c r="AG657" s="1"/>
    </row>
    <row r="658" spans="33:33" ht="13" x14ac:dyDescent="0.15">
      <c r="AG658" s="1"/>
    </row>
    <row r="659" spans="33:33" ht="13" x14ac:dyDescent="0.15">
      <c r="AG659" s="1"/>
    </row>
    <row r="660" spans="33:33" ht="13" x14ac:dyDescent="0.15">
      <c r="AG660" s="1"/>
    </row>
    <row r="661" spans="33:33" ht="13" x14ac:dyDescent="0.15">
      <c r="AG661" s="1"/>
    </row>
    <row r="662" spans="33:33" ht="13" x14ac:dyDescent="0.15">
      <c r="AG662" s="1"/>
    </row>
    <row r="663" spans="33:33" ht="13" x14ac:dyDescent="0.15">
      <c r="AG663" s="1"/>
    </row>
    <row r="664" spans="33:33" ht="13" x14ac:dyDescent="0.15">
      <c r="AG664" s="1"/>
    </row>
    <row r="665" spans="33:33" ht="13" x14ac:dyDescent="0.15">
      <c r="AG665" s="1"/>
    </row>
    <row r="666" spans="33:33" ht="13" x14ac:dyDescent="0.15">
      <c r="AG666" s="1"/>
    </row>
    <row r="667" spans="33:33" ht="13" x14ac:dyDescent="0.15">
      <c r="AG667" s="1"/>
    </row>
    <row r="668" spans="33:33" ht="13" x14ac:dyDescent="0.15">
      <c r="AG668" s="1"/>
    </row>
    <row r="669" spans="33:33" ht="13" x14ac:dyDescent="0.15">
      <c r="AG669" s="1"/>
    </row>
    <row r="670" spans="33:33" ht="13" x14ac:dyDescent="0.15">
      <c r="AG670" s="1"/>
    </row>
    <row r="671" spans="33:33" ht="13" x14ac:dyDescent="0.15">
      <c r="AG671" s="1"/>
    </row>
    <row r="672" spans="33:33" ht="13" x14ac:dyDescent="0.15">
      <c r="AG672" s="1"/>
    </row>
    <row r="673" spans="33:33" ht="13" x14ac:dyDescent="0.15">
      <c r="AG673" s="1"/>
    </row>
    <row r="674" spans="33:33" ht="13" x14ac:dyDescent="0.15">
      <c r="AG674" s="1"/>
    </row>
    <row r="675" spans="33:33" ht="13" x14ac:dyDescent="0.15">
      <c r="AG675" s="1"/>
    </row>
    <row r="676" spans="33:33" ht="13" x14ac:dyDescent="0.15">
      <c r="AG676" s="1"/>
    </row>
    <row r="677" spans="33:33" ht="13" x14ac:dyDescent="0.15">
      <c r="AG677" s="1"/>
    </row>
    <row r="678" spans="33:33" ht="13" x14ac:dyDescent="0.15">
      <c r="AG678" s="1"/>
    </row>
    <row r="679" spans="33:33" ht="13" x14ac:dyDescent="0.15">
      <c r="AG679" s="1"/>
    </row>
    <row r="680" spans="33:33" ht="13" x14ac:dyDescent="0.15">
      <c r="AG680" s="1"/>
    </row>
    <row r="681" spans="33:33" ht="13" x14ac:dyDescent="0.15">
      <c r="AG681" s="1"/>
    </row>
    <row r="682" spans="33:33" ht="13" x14ac:dyDescent="0.15">
      <c r="AG682" s="1"/>
    </row>
    <row r="683" spans="33:33" ht="13" x14ac:dyDescent="0.15">
      <c r="AG683" s="1"/>
    </row>
    <row r="684" spans="33:33" ht="13" x14ac:dyDescent="0.15">
      <c r="AG684" s="1"/>
    </row>
    <row r="685" spans="33:33" ht="13" x14ac:dyDescent="0.15">
      <c r="AG685" s="1"/>
    </row>
    <row r="686" spans="33:33" ht="13" x14ac:dyDescent="0.15">
      <c r="AG686" s="1"/>
    </row>
    <row r="687" spans="33:33" ht="13" x14ac:dyDescent="0.15">
      <c r="AG687" s="1"/>
    </row>
    <row r="688" spans="33:33" ht="13" x14ac:dyDescent="0.15">
      <c r="AG688" s="1"/>
    </row>
    <row r="689" spans="33:33" ht="13" x14ac:dyDescent="0.15">
      <c r="AG689" s="1"/>
    </row>
    <row r="690" spans="33:33" ht="13" x14ac:dyDescent="0.15">
      <c r="AG690" s="1"/>
    </row>
    <row r="691" spans="33:33" ht="13" x14ac:dyDescent="0.15">
      <c r="AG691" s="1"/>
    </row>
    <row r="692" spans="33:33" ht="13" x14ac:dyDescent="0.15">
      <c r="AG692" s="1"/>
    </row>
    <row r="693" spans="33:33" ht="13" x14ac:dyDescent="0.15">
      <c r="AG693" s="1"/>
    </row>
    <row r="694" spans="33:33" ht="13" x14ac:dyDescent="0.15">
      <c r="AG694" s="1"/>
    </row>
    <row r="695" spans="33:33" ht="13" x14ac:dyDescent="0.15">
      <c r="AG695" s="1"/>
    </row>
    <row r="696" spans="33:33" ht="13" x14ac:dyDescent="0.15">
      <c r="AG696" s="1"/>
    </row>
    <row r="697" spans="33:33" ht="13" x14ac:dyDescent="0.15">
      <c r="AG697" s="1"/>
    </row>
    <row r="698" spans="33:33" ht="13" x14ac:dyDescent="0.15">
      <c r="AG698" s="1"/>
    </row>
    <row r="699" spans="33:33" ht="13" x14ac:dyDescent="0.15">
      <c r="AG699" s="1"/>
    </row>
    <row r="700" spans="33:33" ht="13" x14ac:dyDescent="0.15">
      <c r="AG700" s="1"/>
    </row>
    <row r="701" spans="33:33" ht="13" x14ac:dyDescent="0.15">
      <c r="AG701" s="1"/>
    </row>
    <row r="702" spans="33:33" ht="13" x14ac:dyDescent="0.15">
      <c r="AG702" s="1"/>
    </row>
    <row r="703" spans="33:33" ht="13" x14ac:dyDescent="0.15">
      <c r="AG703" s="1"/>
    </row>
    <row r="704" spans="33:33" ht="13" x14ac:dyDescent="0.15">
      <c r="AG704" s="1"/>
    </row>
    <row r="705" spans="33:33" ht="13" x14ac:dyDescent="0.15">
      <c r="AG705" s="1"/>
    </row>
    <row r="706" spans="33:33" ht="13" x14ac:dyDescent="0.15">
      <c r="AG706" s="1"/>
    </row>
    <row r="707" spans="33:33" ht="13" x14ac:dyDescent="0.15">
      <c r="AG707" s="1"/>
    </row>
    <row r="708" spans="33:33" ht="13" x14ac:dyDescent="0.15">
      <c r="AG708" s="1"/>
    </row>
    <row r="709" spans="33:33" ht="13" x14ac:dyDescent="0.15">
      <c r="AG709" s="1"/>
    </row>
    <row r="710" spans="33:33" ht="13" x14ac:dyDescent="0.15">
      <c r="AG710" s="1"/>
    </row>
    <row r="711" spans="33:33" ht="13" x14ac:dyDescent="0.15">
      <c r="AG711" s="1"/>
    </row>
    <row r="712" spans="33:33" ht="13" x14ac:dyDescent="0.15">
      <c r="AG712" s="1"/>
    </row>
    <row r="713" spans="33:33" ht="13" x14ac:dyDescent="0.15">
      <c r="AG713" s="1"/>
    </row>
    <row r="714" spans="33:33" ht="13" x14ac:dyDescent="0.15">
      <c r="AG714" s="1"/>
    </row>
    <row r="715" spans="33:33" ht="13" x14ac:dyDescent="0.15">
      <c r="AG715" s="1"/>
    </row>
    <row r="716" spans="33:33" ht="13" x14ac:dyDescent="0.15">
      <c r="AG716" s="1"/>
    </row>
    <row r="717" spans="33:33" ht="13" x14ac:dyDescent="0.15">
      <c r="AG717" s="1"/>
    </row>
    <row r="718" spans="33:33" ht="13" x14ac:dyDescent="0.15">
      <c r="AG718" s="1"/>
    </row>
    <row r="719" spans="33:33" ht="13" x14ac:dyDescent="0.15">
      <c r="AG719" s="1"/>
    </row>
    <row r="720" spans="33:33" ht="13" x14ac:dyDescent="0.15">
      <c r="AG720" s="1"/>
    </row>
    <row r="721" spans="33:33" ht="13" x14ac:dyDescent="0.15">
      <c r="AG721" s="1"/>
    </row>
    <row r="722" spans="33:33" ht="13" x14ac:dyDescent="0.15">
      <c r="AG722" s="1"/>
    </row>
    <row r="723" spans="33:33" ht="13" x14ac:dyDescent="0.15">
      <c r="AG723" s="1"/>
    </row>
    <row r="724" spans="33:33" ht="13" x14ac:dyDescent="0.15">
      <c r="AG724" s="1"/>
    </row>
    <row r="725" spans="33:33" ht="13" x14ac:dyDescent="0.15">
      <c r="AG725" s="1"/>
    </row>
    <row r="726" spans="33:33" ht="13" x14ac:dyDescent="0.15">
      <c r="AG726" s="1"/>
    </row>
    <row r="727" spans="33:33" ht="13" x14ac:dyDescent="0.15">
      <c r="AG727" s="1"/>
    </row>
    <row r="728" spans="33:33" ht="13" x14ac:dyDescent="0.15">
      <c r="AG728" s="1"/>
    </row>
    <row r="729" spans="33:33" ht="13" x14ac:dyDescent="0.15">
      <c r="AG729" s="1"/>
    </row>
    <row r="730" spans="33:33" ht="13" x14ac:dyDescent="0.15">
      <c r="AG730" s="1"/>
    </row>
    <row r="731" spans="33:33" ht="13" x14ac:dyDescent="0.15">
      <c r="AG731" s="1"/>
    </row>
    <row r="732" spans="33:33" ht="13" x14ac:dyDescent="0.15">
      <c r="AG732" s="1"/>
    </row>
    <row r="733" spans="33:33" ht="13" x14ac:dyDescent="0.15">
      <c r="AG733" s="1"/>
    </row>
    <row r="734" spans="33:33" ht="13" x14ac:dyDescent="0.15">
      <c r="AG734" s="1"/>
    </row>
    <row r="735" spans="33:33" ht="13" x14ac:dyDescent="0.15">
      <c r="AG735" s="1"/>
    </row>
    <row r="736" spans="33:33" ht="13" x14ac:dyDescent="0.15">
      <c r="AG736" s="1"/>
    </row>
    <row r="737" spans="33:33" ht="13" x14ac:dyDescent="0.15">
      <c r="AG737" s="1"/>
    </row>
    <row r="738" spans="33:33" ht="13" x14ac:dyDescent="0.15">
      <c r="AG738" s="1"/>
    </row>
    <row r="739" spans="33:33" ht="13" x14ac:dyDescent="0.15">
      <c r="AG739" s="1"/>
    </row>
    <row r="740" spans="33:33" ht="13" x14ac:dyDescent="0.15">
      <c r="AG740" s="1"/>
    </row>
    <row r="741" spans="33:33" ht="13" x14ac:dyDescent="0.15">
      <c r="AG741" s="1"/>
    </row>
    <row r="742" spans="33:33" ht="13" x14ac:dyDescent="0.15">
      <c r="AG742" s="1"/>
    </row>
    <row r="743" spans="33:33" ht="13" x14ac:dyDescent="0.15">
      <c r="AG743" s="1"/>
    </row>
    <row r="744" spans="33:33" ht="13" x14ac:dyDescent="0.15">
      <c r="AG744" s="1"/>
    </row>
    <row r="745" spans="33:33" ht="13" x14ac:dyDescent="0.15">
      <c r="AG745" s="1"/>
    </row>
    <row r="746" spans="33:33" ht="13" x14ac:dyDescent="0.15">
      <c r="AG746" s="1"/>
    </row>
    <row r="747" spans="33:33" ht="13" x14ac:dyDescent="0.15">
      <c r="AG747" s="1"/>
    </row>
    <row r="748" spans="33:33" ht="13" x14ac:dyDescent="0.15">
      <c r="AG748" s="1"/>
    </row>
    <row r="749" spans="33:33" ht="13" x14ac:dyDescent="0.15">
      <c r="AG749" s="1"/>
    </row>
    <row r="750" spans="33:33" ht="13" x14ac:dyDescent="0.15">
      <c r="AG750" s="1"/>
    </row>
    <row r="751" spans="33:33" ht="13" x14ac:dyDescent="0.15">
      <c r="AG751" s="1"/>
    </row>
    <row r="752" spans="33:33" ht="13" x14ac:dyDescent="0.15">
      <c r="AG752" s="1"/>
    </row>
    <row r="753" spans="33:33" ht="13" x14ac:dyDescent="0.15">
      <c r="AG753" s="1"/>
    </row>
    <row r="754" spans="33:33" ht="13" x14ac:dyDescent="0.15">
      <c r="AG754" s="1"/>
    </row>
    <row r="755" spans="33:33" ht="13" x14ac:dyDescent="0.15">
      <c r="AG755" s="1"/>
    </row>
    <row r="756" spans="33:33" ht="13" x14ac:dyDescent="0.15">
      <c r="AG756" s="1"/>
    </row>
    <row r="757" spans="33:33" ht="13" x14ac:dyDescent="0.15">
      <c r="AG757" s="1"/>
    </row>
    <row r="758" spans="33:33" ht="13" x14ac:dyDescent="0.15">
      <c r="AG758" s="1"/>
    </row>
    <row r="759" spans="33:33" ht="13" x14ac:dyDescent="0.15">
      <c r="AG759" s="1"/>
    </row>
    <row r="760" spans="33:33" ht="13" x14ac:dyDescent="0.15">
      <c r="AG760" s="1"/>
    </row>
    <row r="761" spans="33:33" ht="13" x14ac:dyDescent="0.15">
      <c r="AG761" s="1"/>
    </row>
    <row r="762" spans="33:33" ht="13" x14ac:dyDescent="0.15">
      <c r="AG762" s="1"/>
    </row>
    <row r="763" spans="33:33" ht="13" x14ac:dyDescent="0.15">
      <c r="AG763" s="1"/>
    </row>
    <row r="764" spans="33:33" ht="13" x14ac:dyDescent="0.15">
      <c r="AG764" s="1"/>
    </row>
    <row r="765" spans="33:33" ht="13" x14ac:dyDescent="0.15">
      <c r="AG765" s="1"/>
    </row>
    <row r="766" spans="33:33" ht="13" x14ac:dyDescent="0.15">
      <c r="AG766" s="1"/>
    </row>
    <row r="767" spans="33:33" ht="13" x14ac:dyDescent="0.15">
      <c r="AG767" s="1"/>
    </row>
    <row r="768" spans="33:33" ht="13" x14ac:dyDescent="0.15">
      <c r="AG768" s="1"/>
    </row>
    <row r="769" spans="33:33" ht="13" x14ac:dyDescent="0.15">
      <c r="AG769" s="1"/>
    </row>
    <row r="770" spans="33:33" ht="13" x14ac:dyDescent="0.15">
      <c r="AG770" s="1"/>
    </row>
    <row r="771" spans="33:33" ht="13" x14ac:dyDescent="0.15">
      <c r="AG771" s="1"/>
    </row>
    <row r="772" spans="33:33" ht="13" x14ac:dyDescent="0.15">
      <c r="AG772" s="1"/>
    </row>
    <row r="773" spans="33:33" ht="13" x14ac:dyDescent="0.15">
      <c r="AG773" s="1"/>
    </row>
    <row r="774" spans="33:33" ht="13" x14ac:dyDescent="0.15">
      <c r="AG774" s="1"/>
    </row>
    <row r="775" spans="33:33" ht="13" x14ac:dyDescent="0.15">
      <c r="AG775" s="1"/>
    </row>
    <row r="776" spans="33:33" ht="13" x14ac:dyDescent="0.15">
      <c r="AG776" s="1"/>
    </row>
    <row r="777" spans="33:33" ht="13" x14ac:dyDescent="0.15">
      <c r="AG777" s="1"/>
    </row>
    <row r="778" spans="33:33" ht="13" x14ac:dyDescent="0.15">
      <c r="AG778" s="1"/>
    </row>
    <row r="779" spans="33:33" ht="13" x14ac:dyDescent="0.15">
      <c r="AG779" s="1"/>
    </row>
    <row r="780" spans="33:33" ht="13" x14ac:dyDescent="0.15">
      <c r="AG780" s="1"/>
    </row>
    <row r="781" spans="33:33" ht="13" x14ac:dyDescent="0.15">
      <c r="AG781" s="1"/>
    </row>
    <row r="782" spans="33:33" ht="13" x14ac:dyDescent="0.15">
      <c r="AG782" s="1"/>
    </row>
    <row r="783" spans="33:33" ht="13" x14ac:dyDescent="0.15">
      <c r="AG783" s="1"/>
    </row>
    <row r="784" spans="33:33" ht="13" x14ac:dyDescent="0.15">
      <c r="AG784" s="1"/>
    </row>
    <row r="785" spans="33:33" ht="13" x14ac:dyDescent="0.15">
      <c r="AG785" s="1"/>
    </row>
    <row r="786" spans="33:33" ht="13" x14ac:dyDescent="0.15">
      <c r="AG786" s="1"/>
    </row>
    <row r="787" spans="33:33" ht="13" x14ac:dyDescent="0.15">
      <c r="AG787" s="1"/>
    </row>
    <row r="788" spans="33:33" ht="13" x14ac:dyDescent="0.15">
      <c r="AG788" s="1"/>
    </row>
    <row r="789" spans="33:33" ht="13" x14ac:dyDescent="0.15">
      <c r="AG789" s="1"/>
    </row>
    <row r="790" spans="33:33" ht="13" x14ac:dyDescent="0.15">
      <c r="AG790" s="1"/>
    </row>
    <row r="791" spans="33:33" ht="13" x14ac:dyDescent="0.15">
      <c r="AG791" s="1"/>
    </row>
    <row r="792" spans="33:33" ht="13" x14ac:dyDescent="0.15">
      <c r="AG792" s="1"/>
    </row>
    <row r="793" spans="33:33" ht="13" x14ac:dyDescent="0.15">
      <c r="AG793" s="1"/>
    </row>
    <row r="794" spans="33:33" ht="13" x14ac:dyDescent="0.15">
      <c r="AG794" s="1"/>
    </row>
    <row r="795" spans="33:33" ht="13" x14ac:dyDescent="0.15">
      <c r="AG795" s="1"/>
    </row>
    <row r="796" spans="33:33" ht="13" x14ac:dyDescent="0.15">
      <c r="AG796" s="1"/>
    </row>
    <row r="797" spans="33:33" ht="13" x14ac:dyDescent="0.15">
      <c r="AG797" s="1"/>
    </row>
    <row r="798" spans="33:33" ht="13" x14ac:dyDescent="0.15">
      <c r="AG798" s="1"/>
    </row>
    <row r="799" spans="33:33" ht="13" x14ac:dyDescent="0.15">
      <c r="AG799" s="1"/>
    </row>
    <row r="800" spans="33:33" ht="13" x14ac:dyDescent="0.15">
      <c r="AG800" s="1"/>
    </row>
    <row r="801" spans="33:33" ht="13" x14ac:dyDescent="0.15">
      <c r="AG801" s="1"/>
    </row>
    <row r="802" spans="33:33" ht="13" x14ac:dyDescent="0.15">
      <c r="AG802" s="1"/>
    </row>
    <row r="803" spans="33:33" ht="13" x14ac:dyDescent="0.15">
      <c r="AG803" s="1"/>
    </row>
    <row r="804" spans="33:33" ht="13" x14ac:dyDescent="0.15">
      <c r="AG804" s="1"/>
    </row>
    <row r="805" spans="33:33" ht="13" x14ac:dyDescent="0.15">
      <c r="AG805" s="1"/>
    </row>
    <row r="806" spans="33:33" ht="13" x14ac:dyDescent="0.15">
      <c r="AG806" s="1"/>
    </row>
    <row r="807" spans="33:33" ht="13" x14ac:dyDescent="0.15">
      <c r="AG807" s="1"/>
    </row>
    <row r="808" spans="33:33" ht="13" x14ac:dyDescent="0.15">
      <c r="AG808" s="1"/>
    </row>
    <row r="809" spans="33:33" ht="13" x14ac:dyDescent="0.15">
      <c r="AG809" s="1"/>
    </row>
    <row r="810" spans="33:33" ht="13" x14ac:dyDescent="0.15">
      <c r="AG810" s="1"/>
    </row>
    <row r="811" spans="33:33" ht="13" x14ac:dyDescent="0.15">
      <c r="AG811" s="1"/>
    </row>
    <row r="812" spans="33:33" ht="13" x14ac:dyDescent="0.15">
      <c r="AG812" s="1"/>
    </row>
    <row r="813" spans="33:33" ht="13" x14ac:dyDescent="0.15">
      <c r="AG813" s="1"/>
    </row>
    <row r="814" spans="33:33" ht="13" x14ac:dyDescent="0.15">
      <c r="AG814" s="1"/>
    </row>
    <row r="815" spans="33:33" ht="13" x14ac:dyDescent="0.15">
      <c r="AG815" s="1"/>
    </row>
    <row r="816" spans="33:33" ht="13" x14ac:dyDescent="0.15">
      <c r="AG816" s="1"/>
    </row>
    <row r="817" spans="33:33" ht="13" x14ac:dyDescent="0.15">
      <c r="AG817" s="1"/>
    </row>
    <row r="818" spans="33:33" ht="13" x14ac:dyDescent="0.15">
      <c r="AG818" s="1"/>
    </row>
    <row r="819" spans="33:33" ht="13" x14ac:dyDescent="0.15">
      <c r="AG819" s="1"/>
    </row>
    <row r="820" spans="33:33" ht="13" x14ac:dyDescent="0.15">
      <c r="AG820" s="1"/>
    </row>
    <row r="821" spans="33:33" ht="13" x14ac:dyDescent="0.15">
      <c r="AG821" s="1"/>
    </row>
    <row r="822" spans="33:33" ht="13" x14ac:dyDescent="0.15">
      <c r="AG822" s="1"/>
    </row>
    <row r="823" spans="33:33" ht="13" x14ac:dyDescent="0.15">
      <c r="AG823" s="1"/>
    </row>
    <row r="824" spans="33:33" ht="13" x14ac:dyDescent="0.15">
      <c r="AG824" s="1"/>
    </row>
    <row r="825" spans="33:33" ht="13" x14ac:dyDescent="0.15">
      <c r="AG825" s="1"/>
    </row>
    <row r="826" spans="33:33" ht="13" x14ac:dyDescent="0.15">
      <c r="AG826" s="1"/>
    </row>
    <row r="827" spans="33:33" ht="13" x14ac:dyDescent="0.15">
      <c r="AG827" s="1"/>
    </row>
    <row r="828" spans="33:33" ht="13" x14ac:dyDescent="0.15">
      <c r="AG828" s="1"/>
    </row>
    <row r="829" spans="33:33" ht="13" x14ac:dyDescent="0.15">
      <c r="AG829" s="1"/>
    </row>
    <row r="830" spans="33:33" ht="13" x14ac:dyDescent="0.15">
      <c r="AG830" s="1"/>
    </row>
    <row r="831" spans="33:33" ht="13" x14ac:dyDescent="0.15">
      <c r="AG831" s="1"/>
    </row>
    <row r="832" spans="33:33" ht="13" x14ac:dyDescent="0.15">
      <c r="AG832" s="1"/>
    </row>
    <row r="833" spans="33:33" ht="13" x14ac:dyDescent="0.15">
      <c r="AG833" s="1"/>
    </row>
    <row r="834" spans="33:33" ht="13" x14ac:dyDescent="0.15">
      <c r="AG834" s="1"/>
    </row>
    <row r="835" spans="33:33" ht="13" x14ac:dyDescent="0.15">
      <c r="AG835" s="1"/>
    </row>
    <row r="836" spans="33:33" ht="13" x14ac:dyDescent="0.15">
      <c r="AG836" s="1"/>
    </row>
    <row r="837" spans="33:33" ht="13" x14ac:dyDescent="0.15">
      <c r="AG837" s="1"/>
    </row>
    <row r="838" spans="33:33" ht="13" x14ac:dyDescent="0.15">
      <c r="AG838" s="1"/>
    </row>
    <row r="839" spans="33:33" ht="13" x14ac:dyDescent="0.15">
      <c r="AG839" s="1"/>
    </row>
    <row r="840" spans="33:33" ht="13" x14ac:dyDescent="0.15">
      <c r="AG840" s="1"/>
    </row>
    <row r="841" spans="33:33" ht="13" x14ac:dyDescent="0.15">
      <c r="AG841" s="1"/>
    </row>
    <row r="842" spans="33:33" ht="13" x14ac:dyDescent="0.15">
      <c r="AG842" s="1"/>
    </row>
    <row r="843" spans="33:33" ht="13" x14ac:dyDescent="0.15">
      <c r="AG843" s="1"/>
    </row>
    <row r="844" spans="33:33" ht="13" x14ac:dyDescent="0.15">
      <c r="AG844" s="1"/>
    </row>
    <row r="845" spans="33:33" ht="13" x14ac:dyDescent="0.15">
      <c r="AG845" s="1"/>
    </row>
    <row r="846" spans="33:33" ht="13" x14ac:dyDescent="0.15">
      <c r="AG846" s="1"/>
    </row>
    <row r="847" spans="33:33" ht="13" x14ac:dyDescent="0.15">
      <c r="AG847" s="1"/>
    </row>
    <row r="848" spans="33:33" ht="13" x14ac:dyDescent="0.15">
      <c r="AG848" s="1"/>
    </row>
    <row r="849" spans="33:33" ht="13" x14ac:dyDescent="0.15">
      <c r="AG849" s="1"/>
    </row>
    <row r="850" spans="33:33" ht="13" x14ac:dyDescent="0.15">
      <c r="AG850" s="1"/>
    </row>
    <row r="851" spans="33:33" ht="13" x14ac:dyDescent="0.15">
      <c r="AG851" s="1"/>
    </row>
    <row r="852" spans="33:33" ht="13" x14ac:dyDescent="0.15">
      <c r="AG852" s="1"/>
    </row>
    <row r="853" spans="33:33" ht="13" x14ac:dyDescent="0.15">
      <c r="AG853" s="1"/>
    </row>
    <row r="854" spans="33:33" ht="13" x14ac:dyDescent="0.15">
      <c r="AG854" s="1"/>
    </row>
    <row r="855" spans="33:33" ht="13" x14ac:dyDescent="0.15">
      <c r="AG855" s="1"/>
    </row>
    <row r="856" spans="33:33" ht="13" x14ac:dyDescent="0.15">
      <c r="AG856" s="1"/>
    </row>
    <row r="857" spans="33:33" ht="13" x14ac:dyDescent="0.15">
      <c r="AG857" s="1"/>
    </row>
    <row r="858" spans="33:33" ht="13" x14ac:dyDescent="0.15">
      <c r="AG858" s="1"/>
    </row>
    <row r="859" spans="33:33" ht="13" x14ac:dyDescent="0.15">
      <c r="AG859" s="1"/>
    </row>
    <row r="860" spans="33:33" ht="13" x14ac:dyDescent="0.15">
      <c r="AG860" s="1"/>
    </row>
    <row r="861" spans="33:33" ht="13" x14ac:dyDescent="0.15">
      <c r="AG861" s="1"/>
    </row>
    <row r="862" spans="33:33" ht="13" x14ac:dyDescent="0.15">
      <c r="AG862" s="1"/>
    </row>
    <row r="863" spans="33:33" ht="13" x14ac:dyDescent="0.15">
      <c r="AG863" s="1"/>
    </row>
    <row r="864" spans="33:33" ht="13" x14ac:dyDescent="0.15">
      <c r="AG864" s="1"/>
    </row>
    <row r="865" spans="33:33" ht="13" x14ac:dyDescent="0.15">
      <c r="AG865" s="1"/>
    </row>
    <row r="866" spans="33:33" ht="13" x14ac:dyDescent="0.15">
      <c r="AG866" s="1"/>
    </row>
    <row r="867" spans="33:33" ht="13" x14ac:dyDescent="0.15">
      <c r="AG867" s="1"/>
    </row>
    <row r="868" spans="33:33" ht="13" x14ac:dyDescent="0.15">
      <c r="AG868" s="1"/>
    </row>
    <row r="869" spans="33:33" ht="13" x14ac:dyDescent="0.15">
      <c r="AG869" s="1"/>
    </row>
    <row r="870" spans="33:33" ht="13" x14ac:dyDescent="0.15">
      <c r="AG870" s="1"/>
    </row>
    <row r="871" spans="33:33" ht="13" x14ac:dyDescent="0.15">
      <c r="AG871" s="1"/>
    </row>
    <row r="872" spans="33:33" ht="13" x14ac:dyDescent="0.15">
      <c r="AG872" s="1"/>
    </row>
    <row r="873" spans="33:33" ht="13" x14ac:dyDescent="0.15">
      <c r="AG873" s="1"/>
    </row>
    <row r="874" spans="33:33" ht="13" x14ac:dyDescent="0.15">
      <c r="AG874" s="1"/>
    </row>
    <row r="875" spans="33:33" ht="13" x14ac:dyDescent="0.15">
      <c r="AG875" s="1"/>
    </row>
    <row r="876" spans="33:33" ht="13" x14ac:dyDescent="0.15">
      <c r="AG876" s="1"/>
    </row>
    <row r="877" spans="33:33" ht="13" x14ac:dyDescent="0.15">
      <c r="AG877" s="1"/>
    </row>
    <row r="878" spans="33:33" ht="13" x14ac:dyDescent="0.15">
      <c r="AG878" s="1"/>
    </row>
    <row r="879" spans="33:33" ht="13" x14ac:dyDescent="0.15">
      <c r="AG879" s="1"/>
    </row>
    <row r="880" spans="33:33" ht="13" x14ac:dyDescent="0.15">
      <c r="AG880" s="1"/>
    </row>
    <row r="881" spans="33:33" ht="13" x14ac:dyDescent="0.15">
      <c r="AG881" s="1"/>
    </row>
    <row r="882" spans="33:33" ht="13" x14ac:dyDescent="0.15">
      <c r="AG882" s="1"/>
    </row>
    <row r="883" spans="33:33" ht="13" x14ac:dyDescent="0.15">
      <c r="AG883" s="1"/>
    </row>
    <row r="884" spans="33:33" ht="13" x14ac:dyDescent="0.15">
      <c r="AG884" s="1"/>
    </row>
    <row r="885" spans="33:33" ht="13" x14ac:dyDescent="0.15">
      <c r="AG885" s="1"/>
    </row>
    <row r="886" spans="33:33" ht="13" x14ac:dyDescent="0.15">
      <c r="AG886" s="1"/>
    </row>
    <row r="887" spans="33:33" ht="13" x14ac:dyDescent="0.15">
      <c r="AG887" s="1"/>
    </row>
    <row r="888" spans="33:33" ht="13" x14ac:dyDescent="0.15">
      <c r="AG888" s="1"/>
    </row>
    <row r="889" spans="33:33" ht="13" x14ac:dyDescent="0.15">
      <c r="AG889" s="1"/>
    </row>
    <row r="890" spans="33:33" ht="13" x14ac:dyDescent="0.15">
      <c r="AG890" s="1"/>
    </row>
    <row r="891" spans="33:33" ht="13" x14ac:dyDescent="0.15">
      <c r="AG891" s="1"/>
    </row>
    <row r="892" spans="33:33" ht="13" x14ac:dyDescent="0.15">
      <c r="AG892" s="1"/>
    </row>
    <row r="893" spans="33:33" ht="13" x14ac:dyDescent="0.15">
      <c r="AG893" s="1"/>
    </row>
    <row r="894" spans="33:33" ht="13" x14ac:dyDescent="0.15">
      <c r="AG894" s="1"/>
    </row>
    <row r="895" spans="33:33" ht="13" x14ac:dyDescent="0.15">
      <c r="AG895" s="1"/>
    </row>
    <row r="896" spans="33:33" ht="13" x14ac:dyDescent="0.15">
      <c r="AG896" s="1"/>
    </row>
    <row r="897" spans="33:33" ht="13" x14ac:dyDescent="0.15">
      <c r="AG897" s="1"/>
    </row>
    <row r="898" spans="33:33" ht="13" x14ac:dyDescent="0.15">
      <c r="AG898" s="1"/>
    </row>
    <row r="899" spans="33:33" ht="13" x14ac:dyDescent="0.15">
      <c r="AG899" s="1"/>
    </row>
    <row r="900" spans="33:33" ht="13" x14ac:dyDescent="0.15">
      <c r="AG900" s="1"/>
    </row>
    <row r="901" spans="33:33" ht="13" x14ac:dyDescent="0.15">
      <c r="AG901" s="1"/>
    </row>
    <row r="902" spans="33:33" ht="13" x14ac:dyDescent="0.15">
      <c r="AG902" s="1"/>
    </row>
    <row r="903" spans="33:33" ht="13" x14ac:dyDescent="0.15">
      <c r="AG903" s="1"/>
    </row>
    <row r="904" spans="33:33" ht="13" x14ac:dyDescent="0.15">
      <c r="AG904" s="1"/>
    </row>
    <row r="905" spans="33:33" ht="13" x14ac:dyDescent="0.15">
      <c r="AG905" s="1"/>
    </row>
    <row r="906" spans="33:33" ht="13" x14ac:dyDescent="0.15">
      <c r="AG906" s="1"/>
    </row>
    <row r="907" spans="33:33" ht="13" x14ac:dyDescent="0.15">
      <c r="AG907" s="1"/>
    </row>
    <row r="908" spans="33:33" ht="13" x14ac:dyDescent="0.15">
      <c r="AG908" s="1"/>
    </row>
    <row r="909" spans="33:33" ht="13" x14ac:dyDescent="0.15">
      <c r="AG909" s="1"/>
    </row>
    <row r="910" spans="33:33" ht="13" x14ac:dyDescent="0.15">
      <c r="AG910" s="1"/>
    </row>
    <row r="911" spans="33:33" ht="13" x14ac:dyDescent="0.15">
      <c r="AG911" s="1"/>
    </row>
    <row r="912" spans="33:33" ht="13" x14ac:dyDescent="0.15">
      <c r="AG912" s="1"/>
    </row>
    <row r="913" spans="33:33" ht="13" x14ac:dyDescent="0.15">
      <c r="AG913" s="1"/>
    </row>
    <row r="914" spans="33:33" ht="13" x14ac:dyDescent="0.15">
      <c r="AG914" s="1"/>
    </row>
    <row r="915" spans="33:33" ht="13" x14ac:dyDescent="0.15">
      <c r="AG915" s="1"/>
    </row>
    <row r="916" spans="33:33" ht="13" x14ac:dyDescent="0.15">
      <c r="AG916" s="1"/>
    </row>
    <row r="917" spans="33:33" ht="13" x14ac:dyDescent="0.15">
      <c r="AG917" s="1"/>
    </row>
    <row r="918" spans="33:33" ht="13" x14ac:dyDescent="0.15">
      <c r="AG918" s="1"/>
    </row>
    <row r="919" spans="33:33" ht="13" x14ac:dyDescent="0.15">
      <c r="AG919" s="1"/>
    </row>
    <row r="920" spans="33:33" ht="13" x14ac:dyDescent="0.15">
      <c r="AG920" s="1"/>
    </row>
    <row r="921" spans="33:33" ht="13" x14ac:dyDescent="0.15">
      <c r="AG921" s="1"/>
    </row>
    <row r="922" spans="33:33" ht="13" x14ac:dyDescent="0.15">
      <c r="AG922" s="1"/>
    </row>
    <row r="923" spans="33:33" ht="13" x14ac:dyDescent="0.15">
      <c r="AG923" s="1"/>
    </row>
    <row r="924" spans="33:33" ht="13" x14ac:dyDescent="0.15">
      <c r="AG924" s="1"/>
    </row>
    <row r="925" spans="33:33" ht="13" x14ac:dyDescent="0.15">
      <c r="AG925" s="1"/>
    </row>
    <row r="926" spans="33:33" ht="13" x14ac:dyDescent="0.15">
      <c r="AG926" s="1"/>
    </row>
    <row r="927" spans="33:33" ht="13" x14ac:dyDescent="0.15">
      <c r="AG927" s="1"/>
    </row>
    <row r="928" spans="33:33" ht="13" x14ac:dyDescent="0.15">
      <c r="AG928" s="1"/>
    </row>
    <row r="929" spans="33:33" ht="13" x14ac:dyDescent="0.15">
      <c r="AG929" s="1"/>
    </row>
    <row r="930" spans="33:33" ht="13" x14ac:dyDescent="0.15">
      <c r="AG930" s="1"/>
    </row>
    <row r="931" spans="33:33" ht="13" x14ac:dyDescent="0.15">
      <c r="AG931" s="1"/>
    </row>
    <row r="932" spans="33:33" ht="13" x14ac:dyDescent="0.15">
      <c r="AG932" s="1"/>
    </row>
    <row r="933" spans="33:33" ht="13" x14ac:dyDescent="0.15">
      <c r="AG933" s="1"/>
    </row>
    <row r="934" spans="33:33" ht="13" x14ac:dyDescent="0.15">
      <c r="AG934" s="1"/>
    </row>
    <row r="935" spans="33:33" ht="13" x14ac:dyDescent="0.15">
      <c r="AG935" s="1"/>
    </row>
    <row r="936" spans="33:33" ht="13" x14ac:dyDescent="0.15">
      <c r="AG936" s="1"/>
    </row>
    <row r="937" spans="33:33" ht="13" x14ac:dyDescent="0.15">
      <c r="AG937" s="1"/>
    </row>
    <row r="938" spans="33:33" ht="13" x14ac:dyDescent="0.15">
      <c r="AG938" s="1"/>
    </row>
    <row r="939" spans="33:33" ht="13" x14ac:dyDescent="0.15">
      <c r="AG939" s="1"/>
    </row>
    <row r="940" spans="33:33" ht="13" x14ac:dyDescent="0.15">
      <c r="AG940" s="1"/>
    </row>
    <row r="941" spans="33:33" ht="13" x14ac:dyDescent="0.15">
      <c r="AG941" s="1"/>
    </row>
    <row r="942" spans="33:33" ht="13" x14ac:dyDescent="0.15">
      <c r="AG942" s="1"/>
    </row>
    <row r="943" spans="33:33" ht="13" x14ac:dyDescent="0.15">
      <c r="AG943" s="1"/>
    </row>
    <row r="944" spans="33:33" ht="13" x14ac:dyDescent="0.15">
      <c r="AG944" s="1"/>
    </row>
    <row r="945" spans="33:33" ht="13" x14ac:dyDescent="0.15">
      <c r="AG945" s="1"/>
    </row>
    <row r="946" spans="33:33" ht="13" x14ac:dyDescent="0.15">
      <c r="AG946" s="1"/>
    </row>
    <row r="947" spans="33:33" ht="13" x14ac:dyDescent="0.15">
      <c r="AG947" s="1"/>
    </row>
    <row r="948" spans="33:33" ht="13" x14ac:dyDescent="0.15">
      <c r="AG948" s="1"/>
    </row>
    <row r="949" spans="33:33" ht="13" x14ac:dyDescent="0.15">
      <c r="AG949" s="1"/>
    </row>
    <row r="950" spans="33:33" ht="13" x14ac:dyDescent="0.15">
      <c r="AG950" s="1"/>
    </row>
    <row r="951" spans="33:33" ht="13" x14ac:dyDescent="0.15">
      <c r="AG951" s="1"/>
    </row>
    <row r="952" spans="33:33" ht="13" x14ac:dyDescent="0.15">
      <c r="AG952" s="1"/>
    </row>
    <row r="953" spans="33:33" ht="13" x14ac:dyDescent="0.15">
      <c r="AG953" s="1"/>
    </row>
    <row r="954" spans="33:33" ht="13" x14ac:dyDescent="0.15">
      <c r="AG954" s="1"/>
    </row>
    <row r="955" spans="33:33" ht="13" x14ac:dyDescent="0.15">
      <c r="AG955" s="1"/>
    </row>
    <row r="956" spans="33:33" ht="13" x14ac:dyDescent="0.15">
      <c r="AG956" s="1"/>
    </row>
    <row r="957" spans="33:33" ht="13" x14ac:dyDescent="0.15">
      <c r="AG957" s="1"/>
    </row>
    <row r="958" spans="33:33" ht="13" x14ac:dyDescent="0.15">
      <c r="AG958" s="1"/>
    </row>
    <row r="959" spans="33:33" ht="13" x14ac:dyDescent="0.15">
      <c r="AG959" s="1"/>
    </row>
    <row r="960" spans="33:33" ht="13" x14ac:dyDescent="0.15">
      <c r="AG960" s="1"/>
    </row>
    <row r="961" spans="33:33" ht="13" x14ac:dyDescent="0.15">
      <c r="AG961" s="1"/>
    </row>
    <row r="962" spans="33:33" ht="13" x14ac:dyDescent="0.15">
      <c r="AG962" s="1"/>
    </row>
    <row r="963" spans="33:33" ht="13" x14ac:dyDescent="0.15">
      <c r="AG963" s="1"/>
    </row>
    <row r="964" spans="33:33" ht="13" x14ac:dyDescent="0.15">
      <c r="AG964" s="1"/>
    </row>
    <row r="965" spans="33:33" ht="13" x14ac:dyDescent="0.15">
      <c r="AG965" s="1"/>
    </row>
    <row r="966" spans="33:33" ht="13" x14ac:dyDescent="0.15">
      <c r="AG966" s="1"/>
    </row>
    <row r="967" spans="33:33" ht="13" x14ac:dyDescent="0.15">
      <c r="AG967" s="1"/>
    </row>
    <row r="968" spans="33:33" ht="13" x14ac:dyDescent="0.15">
      <c r="AG968" s="1"/>
    </row>
    <row r="969" spans="33:33" ht="13" x14ac:dyDescent="0.15">
      <c r="AG969" s="1"/>
    </row>
    <row r="970" spans="33:33" ht="13" x14ac:dyDescent="0.15">
      <c r="AG970" s="1"/>
    </row>
    <row r="971" spans="33:33" ht="13" x14ac:dyDescent="0.15">
      <c r="AG971" s="1"/>
    </row>
    <row r="972" spans="33:33" ht="13" x14ac:dyDescent="0.15">
      <c r="AG972" s="1"/>
    </row>
    <row r="973" spans="33:33" ht="13" x14ac:dyDescent="0.15">
      <c r="AG973" s="1"/>
    </row>
    <row r="974" spans="33:33" ht="13" x14ac:dyDescent="0.15">
      <c r="AG974" s="1"/>
    </row>
    <row r="975" spans="33:33" ht="13" x14ac:dyDescent="0.15">
      <c r="AG975" s="1"/>
    </row>
    <row r="976" spans="33:33" ht="13" x14ac:dyDescent="0.15">
      <c r="AG976" s="1"/>
    </row>
    <row r="977" spans="33:33" ht="13" x14ac:dyDescent="0.15">
      <c r="AG977" s="1"/>
    </row>
    <row r="978" spans="33:33" ht="13" x14ac:dyDescent="0.15">
      <c r="AG978" s="1"/>
    </row>
    <row r="979" spans="33:33" ht="13" x14ac:dyDescent="0.15">
      <c r="AG979" s="1"/>
    </row>
    <row r="980" spans="33:33" ht="13" x14ac:dyDescent="0.15">
      <c r="AG980" s="1"/>
    </row>
    <row r="981" spans="33:33" ht="13" x14ac:dyDescent="0.15">
      <c r="AG981" s="1"/>
    </row>
    <row r="982" spans="33:33" ht="13" x14ac:dyDescent="0.15">
      <c r="AG982" s="1"/>
    </row>
    <row r="983" spans="33:33" ht="13" x14ac:dyDescent="0.15">
      <c r="AG983" s="1"/>
    </row>
    <row r="984" spans="33:33" ht="13" x14ac:dyDescent="0.15">
      <c r="AG984" s="1"/>
    </row>
    <row r="985" spans="33:33" ht="13" x14ac:dyDescent="0.15">
      <c r="AG985" s="1"/>
    </row>
    <row r="986" spans="33:33" ht="13" x14ac:dyDescent="0.15">
      <c r="AG986" s="1"/>
    </row>
    <row r="987" spans="33:33" ht="13" x14ac:dyDescent="0.15">
      <c r="AG987" s="1"/>
    </row>
    <row r="988" spans="33:33" ht="13" x14ac:dyDescent="0.15">
      <c r="AG988" s="1"/>
    </row>
    <row r="989" spans="33:33" ht="13" x14ac:dyDescent="0.15">
      <c r="AG989" s="1"/>
    </row>
    <row r="990" spans="33:33" ht="13" x14ac:dyDescent="0.15">
      <c r="AG990" s="1"/>
    </row>
    <row r="991" spans="33:33" ht="13" x14ac:dyDescent="0.15">
      <c r="AG991" s="1"/>
    </row>
    <row r="992" spans="33:33" ht="13" x14ac:dyDescent="0.15">
      <c r="AG992" s="1"/>
    </row>
    <row r="993" spans="33:33" ht="13" x14ac:dyDescent="0.15">
      <c r="AG993" s="1"/>
    </row>
    <row r="994" spans="33:33" ht="13" x14ac:dyDescent="0.15">
      <c r="AG994" s="1"/>
    </row>
    <row r="995" spans="33:33" ht="13" x14ac:dyDescent="0.15">
      <c r="AG995" s="1"/>
    </row>
    <row r="996" spans="33:33" ht="13" x14ac:dyDescent="0.15">
      <c r="AG996" s="1"/>
    </row>
    <row r="997" spans="33:33" ht="13" x14ac:dyDescent="0.15">
      <c r="AG997" s="1"/>
    </row>
    <row r="998" spans="33:33" ht="13" x14ac:dyDescent="0.15">
      <c r="AG998" s="1"/>
    </row>
    <row r="999" spans="33:33" ht="13" x14ac:dyDescent="0.15">
      <c r="AG999" s="1"/>
    </row>
    <row r="1000" spans="33:33" ht="13" x14ac:dyDescent="0.15">
      <c r="AG1000" s="1"/>
    </row>
    <row r="1001" spans="33:33" ht="13" x14ac:dyDescent="0.15">
      <c r="AG1001" s="1"/>
    </row>
    <row r="1002" spans="33:33" ht="13" x14ac:dyDescent="0.15">
      <c r="AG1002" s="1"/>
    </row>
    <row r="1003" spans="33:33" ht="13" x14ac:dyDescent="0.15">
      <c r="AG1003" s="1"/>
    </row>
    <row r="1004" spans="33:33" ht="13" x14ac:dyDescent="0.15">
      <c r="AG1004" s="1"/>
    </row>
    <row r="1005" spans="33:33" ht="13" x14ac:dyDescent="0.15">
      <c r="AG1005" s="1"/>
    </row>
    <row r="1006" spans="33:33" ht="13" x14ac:dyDescent="0.15">
      <c r="AG1006" s="1"/>
    </row>
    <row r="1007" spans="33:33" ht="13" x14ac:dyDescent="0.15">
      <c r="AG1007" s="1"/>
    </row>
    <row r="1008" spans="33:33" ht="13" x14ac:dyDescent="0.15">
      <c r="AG1008" s="1"/>
    </row>
    <row r="1009" spans="33:33" ht="13" x14ac:dyDescent="0.15">
      <c r="AG1009" s="1"/>
    </row>
  </sheetData>
  <mergeCells count="6">
    <mergeCell ref="U2:Z2"/>
    <mergeCell ref="AA2:AE2"/>
    <mergeCell ref="F2:K2"/>
    <mergeCell ref="L2:R2"/>
    <mergeCell ref="U1:AF1"/>
    <mergeCell ref="F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 and profiling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2025-04-02T15:39:43Z</dcterms:created>
  <dcterms:modified xsi:type="dcterms:W3CDTF">2025-04-02T15:43:49Z</dcterms:modified>
</cp:coreProperties>
</file>